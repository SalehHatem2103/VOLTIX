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\VOLTIX\task4\"/>
    </mc:Choice>
  </mc:AlternateContent>
  <xr:revisionPtr revIDLastSave="0" documentId="13_ncr:1_{F5AE3B38-823E-4F91-8489-CD7602114C5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6" r:id="rId5"/>
    <sheet name="Task 6" sheetId="7" r:id="rId6"/>
    <sheet name="Task 7" sheetId="8" r:id="rId7"/>
  </sheets>
  <calcPr calcId="191028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8" l="1"/>
  <c r="D6" i="8"/>
  <c r="D7" i="8"/>
  <c r="D8" i="8"/>
  <c r="D9" i="8"/>
  <c r="D10" i="8"/>
  <c r="D11" i="8"/>
  <c r="D12" i="8"/>
  <c r="D13" i="8"/>
  <c r="D14" i="8"/>
  <c r="D15" i="8"/>
  <c r="D5" i="8"/>
  <c r="C16" i="8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5" i="7"/>
  <c r="J9" i="4"/>
  <c r="J8" i="4"/>
  <c r="J7" i="4"/>
  <c r="J6" i="4"/>
  <c r="J5" i="3"/>
  <c r="J4" i="3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<sst xmlns="http://schemas.openxmlformats.org/spreadsheetml/2006/main" count="412" uniqueCount="54">
  <si>
    <t>Please organize the data by using the best format for date , and currency , fonts, frams, ect…</t>
  </si>
  <si>
    <t>Sales Report</t>
  </si>
  <si>
    <t>Order Date</t>
  </si>
  <si>
    <t>Sales Agent Name</t>
  </si>
  <si>
    <t>Car Type</t>
  </si>
  <si>
    <t>Car price</t>
  </si>
  <si>
    <t>Count</t>
  </si>
  <si>
    <t>Total Sales</t>
  </si>
  <si>
    <t>Ahmed</t>
  </si>
  <si>
    <t>Toyota</t>
  </si>
  <si>
    <t>Hossam</t>
  </si>
  <si>
    <t>Jeep</t>
  </si>
  <si>
    <t>Abdullah</t>
  </si>
  <si>
    <t>Mona</t>
  </si>
  <si>
    <t>Volkswagen</t>
  </si>
  <si>
    <t>Farida</t>
  </si>
  <si>
    <t>BMW</t>
  </si>
  <si>
    <t>Kia</t>
  </si>
  <si>
    <t>Ali</t>
  </si>
  <si>
    <t>Please change the color of the highest and lowest order amount</t>
  </si>
  <si>
    <t>Please highlight the by green all the results that more than J3 Amount and by red any results below this number</t>
  </si>
  <si>
    <t>Please find the highest and the lowest results</t>
  </si>
  <si>
    <t>Target</t>
  </si>
  <si>
    <t>Sales Report per Thousand</t>
  </si>
  <si>
    <t>The lowest Sales Amount</t>
  </si>
  <si>
    <t>Sales Person</t>
  </si>
  <si>
    <t>Jan</t>
  </si>
  <si>
    <t>Feb</t>
  </si>
  <si>
    <t>Mar</t>
  </si>
  <si>
    <t>Apr</t>
  </si>
  <si>
    <t>May</t>
  </si>
  <si>
    <t>Jun</t>
  </si>
  <si>
    <t>The highest result</t>
  </si>
  <si>
    <t>Hand</t>
  </si>
  <si>
    <t>Tamer</t>
  </si>
  <si>
    <t>Othman</t>
  </si>
  <si>
    <t>Please fill the yellow cells by the related equation</t>
  </si>
  <si>
    <t>Item</t>
  </si>
  <si>
    <t>Amount</t>
  </si>
  <si>
    <t>Total Sales Amount</t>
  </si>
  <si>
    <t>Total Sold Cars</t>
  </si>
  <si>
    <t>Count of orders</t>
  </si>
  <si>
    <t>Average order Amount</t>
  </si>
  <si>
    <t>Please prepare a report for each one of sales persons results</t>
  </si>
  <si>
    <t>Please find the best sales person according to his sales amount</t>
  </si>
  <si>
    <t>t</t>
  </si>
  <si>
    <t>Please list the car prices for each order and calculate the full order amount</t>
  </si>
  <si>
    <t>Price</t>
  </si>
  <si>
    <t>Mazda</t>
  </si>
  <si>
    <t>Please  prepare a new bill for your order</t>
  </si>
  <si>
    <t>Total</t>
  </si>
  <si>
    <t>Grand Total</t>
  </si>
  <si>
    <t>Total Sale</t>
  </si>
  <si>
    <t>Best Sales Person:Ahemd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</si>
</sst>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??_);_(@_)"/>
    <numFmt numFmtId="165" formatCode="[$EGP]\ #,##0"/>
    <numFmt numFmtId="166" formatCode="[$-409]d\-mmm\-yy"/>
    <numFmt numFmtId="167" formatCode="_(* #,##0_);_(* \(#,##0\);_(* &quot;-&quot;??_);_(@_)"/>
    <numFmt numFmtId="168" formatCode="_([$EGP]\ * #,##0_);_([$EGP]\ * \(#,##0\);_([$EGP]\ * &quot;-&quot;_);_(@_)"/>
    <numFmt numFmtId="169" formatCode="_([$EGP]\ * #,##0_);_([$EGP]\ * \(#,##0\);_([$EGP]\ * &quot;-&quot;??_);_(@_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8" fillId="2" borderId="1" xfId="0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167" fontId="7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0" fontId="6" fillId="4" borderId="1" xfId="0" applyFont="1" applyFill="1" applyBorder="1"/>
    <xf numFmtId="0" fontId="8" fillId="3" borderId="1" xfId="0" applyFont="1" applyFill="1" applyBorder="1"/>
    <xf numFmtId="0" fontId="8" fillId="2" borderId="1" xfId="0" applyFont="1" applyFill="1" applyBorder="1"/>
    <xf numFmtId="165" fontId="6" fillId="4" borderId="1" xfId="0" applyNumberFormat="1" applyFont="1" applyFill="1" applyBorder="1"/>
    <xf numFmtId="167" fontId="6" fillId="4" borderId="1" xfId="0" applyNumberFormat="1" applyFont="1" applyFill="1" applyBorder="1"/>
    <xf numFmtId="0" fontId="4" fillId="0" borderId="1" xfId="0" applyFont="1" applyBorder="1"/>
    <xf numFmtId="165" fontId="6" fillId="4" borderId="1" xfId="0" applyNumberFormat="1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7" fontId="6" fillId="0" borderId="11" xfId="0" applyNumberFormat="1" applyFont="1" applyBorder="1" applyAlignment="1">
      <alignment horizontal="left" vertical="center"/>
    </xf>
    <xf numFmtId="167" fontId="4" fillId="0" borderId="14" xfId="0" applyNumberFormat="1" applyFont="1" applyBorder="1" applyAlignment="1">
      <alignment horizontal="left" vertical="center"/>
    </xf>
    <xf numFmtId="167" fontId="4" fillId="0" borderId="15" xfId="0" applyNumberFormat="1" applyFont="1" applyBorder="1" applyAlignment="1">
      <alignment horizontal="left" vertical="center"/>
    </xf>
    <xf numFmtId="0" fontId="2" fillId="0" borderId="0" xfId="0" applyFont="1" applyAlignment="1"/>
    <xf numFmtId="14" fontId="10" fillId="0" borderId="16" xfId="0" applyNumberFormat="1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8" fontId="10" fillId="0" borderId="16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center" vertical="center"/>
    </xf>
    <xf numFmtId="169" fontId="1" fillId="0" borderId="16" xfId="0" applyNumberFormat="1" applyFont="1" applyBorder="1" applyAlignment="1">
      <alignment horizontal="center" vertical="center"/>
    </xf>
    <xf numFmtId="169" fontId="10" fillId="0" borderId="16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left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9" fontId="0" fillId="0" borderId="0" xfId="0" applyNumberFormat="1" applyFont="1" applyAlignment="1"/>
    <xf numFmtId="0" fontId="14" fillId="3" borderId="1" xfId="0" applyFont="1" applyFill="1" applyBorder="1"/>
    <xf numFmtId="0" fontId="1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8" fillId="3" borderId="5" xfId="0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166" fontId="4" fillId="0" borderId="12" xfId="0" applyNumberFormat="1" applyFont="1" applyBorder="1" applyAlignment="1">
      <alignment horizontal="center" vertical="center"/>
    </xf>
    <xf numFmtId="0" fontId="9" fillId="0" borderId="13" xfId="0" applyFont="1" applyBorder="1"/>
    <xf numFmtId="0" fontId="13" fillId="5" borderId="16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color auto="1"/>
      </font>
    </dxf>
    <dxf>
      <numFmt numFmtId="169" formatCode="_([$EGP]\ * #,##0_);_([$EGP]\ * \(#,##0\);_([$EGP]\ * &quot;-&quot;??_);_(@_)"/>
    </dxf>
    <dxf>
      <numFmt numFmtId="169" formatCode="_([$EGP]\ * #,##0_);_([$EGP]\ * \(#,##0\);_([$EGP]\ * &quot;-&quot;??_);_(@_)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169" formatCode="_([$EGP]\ * #,##0_);_([$EGP]\ * \(#,##0\);_([$EGP]\ 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168" formatCode="_([$EGP]\ * #,##0_);_([$EGP]\ * \(#,##0\);_([$EGP]\ * &quot;-&quot;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Tasks - 1 prepare.xlsx]Task 5!PivotTable15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Sales</a:t>
            </a:r>
            <a:r>
              <a:rPr lang="en-US" b="1" baseline="0">
                <a:solidFill>
                  <a:sysClr val="windowText" lastClr="000000"/>
                </a:solidFill>
              </a:rPr>
              <a:t> by Sales Person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3333333333333333E-2"/>
              <c:y val="-2.7777777777777776E-2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5914168010024991E-18"/>
              <c:y val="-0.10185185185185185"/>
            </c:manualLayout>
          </c:layout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3C-4942-939B-FCEB2CA361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53C-4942-939B-FCEB2CA36116}"/>
              </c:ext>
            </c:extLst>
          </c:dPt>
          <c:dLbls>
            <c:dLbl>
              <c:idx val="0"/>
              <c:layout>
                <c:manualLayout>
                  <c:x val="-1.5914168010024991E-18"/>
                  <c:y val="-0.1018518518518518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3C-4942-939B-FCEB2CA36116}"/>
                </c:ext>
              </c:extLst>
            </c:dLbl>
            <c:dLbl>
              <c:idx val="1"/>
              <c:layout>
                <c:manualLayout>
                  <c:x val="3.3333333333333333E-2"/>
                  <c:y val="-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3C-4942-939B-FCEB2CA3611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5'!$I$7:$I$13</c:f>
              <c:strCache>
                <c:ptCount val="6"/>
                <c:pt idx="0">
                  <c:v>Ahmed</c:v>
                </c:pt>
                <c:pt idx="1">
                  <c:v>Hossam</c:v>
                </c:pt>
                <c:pt idx="2">
                  <c:v>Farida</c:v>
                </c:pt>
                <c:pt idx="3">
                  <c:v>Abdullah</c:v>
                </c:pt>
                <c:pt idx="4">
                  <c:v>Mona</c:v>
                </c:pt>
                <c:pt idx="5">
                  <c:v>Ali</c:v>
                </c:pt>
              </c:strCache>
            </c:strRef>
          </c:cat>
          <c:val>
            <c:numRef>
              <c:f>'Task 5'!$J$7:$J$13</c:f>
              <c:numCache>
                <c:formatCode>_([$EGP]\ * #,##0_);_([$EGP]\ * \(#,##0\);_([$EGP]\ * "-"??_);_(@_)</c:formatCode>
                <c:ptCount val="6"/>
                <c:pt idx="0">
                  <c:v>6940000</c:v>
                </c:pt>
                <c:pt idx="1">
                  <c:v>6770000</c:v>
                </c:pt>
                <c:pt idx="2">
                  <c:v>5425000</c:v>
                </c:pt>
                <c:pt idx="3">
                  <c:v>4720000</c:v>
                </c:pt>
                <c:pt idx="4">
                  <c:v>3280000</c:v>
                </c:pt>
                <c:pt idx="5">
                  <c:v>2230000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C-4942-939B-FCEB2CA36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7760320"/>
        <c:axId val="1337750240"/>
      </c:barChart>
      <c:catAx>
        <c:axId val="133776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50240"/>
        <c:crosses val="autoZero"/>
        <c:auto val="1"/>
        <c:lblAlgn val="ctr"/>
        <c:lblOffset val="100"/>
        <c:noMultiLvlLbl val="0"/>
      </c:catAx>
      <c:valAx>
        <c:axId val="1337750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EGP]\ * #,##0_);_([$EGP]\ * \(#,##0\);_([$EGP]\ * &quot;-&quot;??_);_(@_)" sourceLinked="1"/>
        <c:majorTickMark val="none"/>
        <c:minorTickMark val="none"/>
        <c:tickLblPos val="nextTo"/>
        <c:crossAx val="13377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14</xdr:row>
      <xdr:rowOff>83820</xdr:rowOff>
    </xdr:from>
    <xdr:to>
      <xdr:col>12</xdr:col>
      <xdr:colOff>556260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B3750-45CC-2142-8E3D-096581B10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eh Hatem" refreshedDate="46281.876432754631" createdVersion="8" refreshedVersion="8" minRefreshableVersion="3" recordCount="30" xr:uid="{CB41596B-26DA-4B59-9251-137E2C59BDF1}">
  <cacheSource type="worksheet">
    <worksheetSource ref="A5:F35" sheet="Task 5"/>
  </cacheSource>
  <cacheFields count="6">
    <cacheField name="Order Date" numFmtId="166">
      <sharedItems containsSemiMixedTypes="0" containsNonDate="0" containsDate="1" containsString="0" minDate="2019-05-01T00:00:00" maxDate="2019-05-31T00:00:00" count="30"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</sharedItems>
    </cacheField>
    <cacheField name="Sales Agent Name" numFmtId="0">
      <sharedItems count="6">
        <s v="Ahmed"/>
        <s v="Hossam"/>
        <s v="Abdullah"/>
        <s v="Mona"/>
        <s v="Farida"/>
        <s v="Ali"/>
      </sharedItems>
    </cacheField>
    <cacheField name="Car Type" numFmtId="0">
      <sharedItems/>
    </cacheField>
    <cacheField name="Car price" numFmtId="165">
      <sharedItems containsSemiMixedTypes="0" containsString="0" containsNumber="1" containsInteger="1" minValue="375000" maxValue="790000"/>
    </cacheField>
    <cacheField name="Count" numFmtId="167">
      <sharedItems containsSemiMixedTypes="0" containsString="0" containsNumber="1" containsInteger="1" minValue="1" maxValue="3"/>
    </cacheField>
    <cacheField name="Total Sales" numFmtId="165">
      <sharedItems containsSemiMixedTypes="0" containsString="0" containsNumber="1" containsInteger="1" minValue="375000" maxValue="23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Toyota"/>
    <n v="590000"/>
    <n v="1"/>
    <n v="590000"/>
  </r>
  <r>
    <x v="1"/>
    <x v="1"/>
    <s v="Jeep"/>
    <n v="750000"/>
    <n v="2"/>
    <n v="1500000"/>
  </r>
  <r>
    <x v="2"/>
    <x v="2"/>
    <s v="Toyota"/>
    <n v="590000"/>
    <n v="1"/>
    <n v="590000"/>
  </r>
  <r>
    <x v="3"/>
    <x v="3"/>
    <s v="Volkswagen"/>
    <n v="460000"/>
    <n v="1"/>
    <n v="460000"/>
  </r>
  <r>
    <x v="4"/>
    <x v="4"/>
    <s v="BMW"/>
    <n v="790000"/>
    <n v="3"/>
    <n v="2370000"/>
  </r>
  <r>
    <x v="5"/>
    <x v="0"/>
    <s v="Kia"/>
    <n v="375000"/>
    <n v="2"/>
    <n v="750000"/>
  </r>
  <r>
    <x v="6"/>
    <x v="1"/>
    <s v="Toyota"/>
    <n v="590000"/>
    <n v="3"/>
    <n v="1770000"/>
  </r>
  <r>
    <x v="7"/>
    <x v="0"/>
    <s v="Jeep"/>
    <n v="750000"/>
    <n v="2"/>
    <n v="1500000"/>
  </r>
  <r>
    <x v="8"/>
    <x v="3"/>
    <s v="Toyota"/>
    <n v="590000"/>
    <n v="3"/>
    <n v="1770000"/>
  </r>
  <r>
    <x v="9"/>
    <x v="2"/>
    <s v="Jeep"/>
    <n v="750000"/>
    <n v="2"/>
    <n v="1500000"/>
  </r>
  <r>
    <x v="10"/>
    <x v="1"/>
    <s v="Volkswagen"/>
    <n v="460000"/>
    <n v="1"/>
    <n v="460000"/>
  </r>
  <r>
    <x v="11"/>
    <x v="3"/>
    <s v="Volkswagen"/>
    <n v="460000"/>
    <n v="1"/>
    <n v="460000"/>
  </r>
  <r>
    <x v="12"/>
    <x v="4"/>
    <s v="Jeep"/>
    <n v="750000"/>
    <n v="1"/>
    <n v="750000"/>
  </r>
  <r>
    <x v="13"/>
    <x v="4"/>
    <s v="Toyota"/>
    <n v="590000"/>
    <n v="2"/>
    <n v="1180000"/>
  </r>
  <r>
    <x v="14"/>
    <x v="0"/>
    <s v="Kia"/>
    <n v="375000"/>
    <n v="2"/>
    <n v="750000"/>
  </r>
  <r>
    <x v="15"/>
    <x v="1"/>
    <s v="BMW"/>
    <n v="790000"/>
    <n v="1"/>
    <n v="790000"/>
  </r>
  <r>
    <x v="16"/>
    <x v="2"/>
    <s v="BMW"/>
    <n v="790000"/>
    <n v="1"/>
    <n v="790000"/>
  </r>
  <r>
    <x v="17"/>
    <x v="5"/>
    <s v="Toyota"/>
    <n v="590000"/>
    <n v="2"/>
    <n v="1180000"/>
  </r>
  <r>
    <x v="18"/>
    <x v="1"/>
    <s v="Kia"/>
    <n v="375000"/>
    <n v="2"/>
    <n v="750000"/>
  </r>
  <r>
    <x v="19"/>
    <x v="5"/>
    <s v="Toyota"/>
    <n v="590000"/>
    <n v="1"/>
    <n v="590000"/>
  </r>
  <r>
    <x v="20"/>
    <x v="4"/>
    <s v="Jeep"/>
    <n v="750000"/>
    <n v="1"/>
    <n v="750000"/>
  </r>
  <r>
    <x v="21"/>
    <x v="2"/>
    <s v="Volkswagen"/>
    <n v="460000"/>
    <n v="1"/>
    <n v="460000"/>
  </r>
  <r>
    <x v="22"/>
    <x v="2"/>
    <s v="Volkswagen"/>
    <n v="460000"/>
    <n v="3"/>
    <n v="1380000"/>
  </r>
  <r>
    <x v="23"/>
    <x v="4"/>
    <s v="Kia"/>
    <n v="375000"/>
    <n v="1"/>
    <n v="375000"/>
  </r>
  <r>
    <x v="24"/>
    <x v="0"/>
    <s v="BMW"/>
    <n v="790000"/>
    <n v="2"/>
    <n v="1580000"/>
  </r>
  <r>
    <x v="25"/>
    <x v="3"/>
    <s v="Toyota"/>
    <n v="590000"/>
    <n v="1"/>
    <n v="590000"/>
  </r>
  <r>
    <x v="26"/>
    <x v="1"/>
    <s v="Kia"/>
    <n v="375000"/>
    <n v="2"/>
    <n v="750000"/>
  </r>
  <r>
    <x v="27"/>
    <x v="0"/>
    <s v="Toyota"/>
    <n v="590000"/>
    <n v="3"/>
    <n v="1770000"/>
  </r>
  <r>
    <x v="28"/>
    <x v="1"/>
    <s v="Jeep"/>
    <n v="750000"/>
    <n v="1"/>
    <n v="750000"/>
  </r>
  <r>
    <x v="29"/>
    <x v="5"/>
    <s v="Volkswagen"/>
    <n v="460000"/>
    <n v="1"/>
    <n v="4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D8987-1FAC-4678-BFE0-572700C899A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 Person">
  <location ref="I6:J13" firstHeaderRow="1" firstDataRow="1" firstDataCol="1"/>
  <pivotFields count="6">
    <pivotField numFmtId="166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7">
        <item x="2"/>
        <item x="0"/>
        <item x="5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167" showAll="0"/>
    <pivotField dataField="1" numFmtId="165" showAll="0"/>
  </pivotFields>
  <rowFields count="1">
    <field x="1"/>
  </rowFields>
  <rowItems count="7">
    <i>
      <x v="1"/>
    </i>
    <i>
      <x v="4"/>
    </i>
    <i>
      <x v="3"/>
    </i>
    <i>
      <x/>
    </i>
    <i>
      <x v="5"/>
    </i>
    <i>
      <x v="2"/>
    </i>
    <i t="grand">
      <x/>
    </i>
  </rowItems>
  <colItems count="1">
    <i/>
  </colItems>
  <dataFields count="1">
    <dataField name="Total Sale" fld="5" baseField="1" baseItem="1" numFmtId="169"/>
  </dataFields>
  <formats count="4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1" count="1">
            <x v="1"/>
          </reference>
        </references>
      </pivotArea>
    </format>
    <format dxfId="4">
      <pivotArea dataOnly="0" labelOnly="1" fieldPosition="0">
        <references count="1">
          <reference field="1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B9F14-5FB2-4D7E-8E20-82D340EBBF76}" name="Table1" displayName="Table1" ref="A5:F35" totalsRowShown="0" headerRowDxfId="14">
  <autoFilter ref="A5:F35" xr:uid="{15DB9F14-5FB2-4D7E-8E20-82D340EBBF76}"/>
  <tableColumns count="6">
    <tableColumn id="1" xr3:uid="{15894044-9881-4734-862F-2C67873706C4}" name="Order Date" dataDxfId="13"/>
    <tableColumn id="2" xr3:uid="{400651BF-BDFD-4593-A710-B049DEFF4E96}" name="Sales Agent Name" dataDxfId="12"/>
    <tableColumn id="3" xr3:uid="{A8CB66EB-3C26-49FD-BED1-BD0E9CC6753A}" name="Car Type" dataDxfId="11"/>
    <tableColumn id="4" xr3:uid="{08EDFE99-A856-4A5B-AF62-AEA37966D24E}" name="Car price" dataDxfId="10"/>
    <tableColumn id="5" xr3:uid="{8C1F4FE9-F834-4D64-9D4C-B128C52DE52D}" name="Count" dataDxfId="9"/>
    <tableColumn id="6" xr3:uid="{EA544529-11AE-4B5A-BD54-D5F63C60F367}" name="Total Sales" dataDxfId="8">
      <calculatedColumnFormula>D6*E6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A4" sqref="A4:C4"/>
    </sheetView>
  </sheetViews>
  <sheetFormatPr defaultColWidth="14.44140625" defaultRowHeight="15" customHeight="1" x14ac:dyDescent="0.3"/>
  <cols>
    <col min="1" max="1" width="12" customWidth="1"/>
    <col min="2" max="2" width="18.44140625" bestFit="1" customWidth="1"/>
    <col min="3" max="3" width="11.33203125" bestFit="1" customWidth="1"/>
    <col min="4" max="4" width="14.6640625" bestFit="1" customWidth="1"/>
    <col min="5" max="5" width="8.33203125" bestFit="1" customWidth="1"/>
    <col min="6" max="6" width="16.33203125" bestFit="1" customWidth="1"/>
    <col min="7" max="11" width="8.77734375" customWidth="1"/>
    <col min="12" max="12" width="11.6640625" customWidth="1"/>
    <col min="13" max="13" width="7" customWidth="1"/>
    <col min="14" max="18" width="8.77734375" customWidth="1"/>
    <col min="19" max="19" width="13" customWidth="1"/>
    <col min="20" max="20" width="17.21875" customWidth="1"/>
    <col min="21" max="21" width="12.21875" customWidth="1"/>
    <col min="22" max="22" width="12" customWidth="1"/>
    <col min="23" max="23" width="6.33203125" customWidth="1"/>
    <col min="24" max="24" width="13.6640625" customWidth="1"/>
    <col min="25" max="25" width="14.109375" customWidth="1"/>
    <col min="26" max="26" width="8.77734375" customWidth="1"/>
  </cols>
  <sheetData>
    <row r="1" spans="1:25" ht="14.4" x14ac:dyDescent="0.3">
      <c r="A1" s="1" t="s">
        <v>0</v>
      </c>
    </row>
    <row r="4" spans="1:25" ht="14.4" x14ac:dyDescent="0.3">
      <c r="A4" s="47" t="s">
        <v>1</v>
      </c>
      <c r="B4" s="47"/>
      <c r="C4" s="47"/>
    </row>
    <row r="5" spans="1:25" ht="14.4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25" ht="14.4" x14ac:dyDescent="0.3">
      <c r="A6" s="30">
        <v>43586</v>
      </c>
      <c r="B6" s="32" t="s">
        <v>8</v>
      </c>
      <c r="C6" s="32" t="s">
        <v>9</v>
      </c>
      <c r="D6" s="36">
        <v>590000</v>
      </c>
      <c r="E6" s="35">
        <v>1</v>
      </c>
      <c r="F6" s="38">
        <f t="shared" ref="F6:F35" si="0">D6*E6</f>
        <v>590000</v>
      </c>
      <c r="Y6" s="4"/>
    </row>
    <row r="7" spans="1:25" ht="14.4" x14ac:dyDescent="0.3">
      <c r="A7" s="30">
        <v>43587</v>
      </c>
      <c r="B7" s="32" t="s">
        <v>10</v>
      </c>
      <c r="C7" s="33" t="s">
        <v>11</v>
      </c>
      <c r="D7" s="37">
        <v>750000</v>
      </c>
      <c r="E7" s="35">
        <v>2</v>
      </c>
      <c r="F7" s="38">
        <f t="shared" si="0"/>
        <v>1500000</v>
      </c>
      <c r="Y7" s="4"/>
    </row>
    <row r="8" spans="1:25" ht="14.4" x14ac:dyDescent="0.3">
      <c r="A8" s="30">
        <v>43588</v>
      </c>
      <c r="B8" s="33" t="s">
        <v>12</v>
      </c>
      <c r="C8" s="32" t="s">
        <v>9</v>
      </c>
      <c r="D8" s="36">
        <v>590000</v>
      </c>
      <c r="E8" s="35">
        <v>1</v>
      </c>
      <c r="F8" s="39">
        <f t="shared" si="0"/>
        <v>590000</v>
      </c>
      <c r="Y8" s="4"/>
    </row>
    <row r="9" spans="1:25" ht="14.4" x14ac:dyDescent="0.3">
      <c r="A9" s="30">
        <v>43589</v>
      </c>
      <c r="B9" s="33" t="s">
        <v>13</v>
      </c>
      <c r="C9" s="32" t="s">
        <v>14</v>
      </c>
      <c r="D9" s="36">
        <v>460000</v>
      </c>
      <c r="E9" s="35">
        <v>1</v>
      </c>
      <c r="F9" s="38">
        <f t="shared" si="0"/>
        <v>460000</v>
      </c>
      <c r="Y9" s="4"/>
    </row>
    <row r="10" spans="1:25" ht="14.4" x14ac:dyDescent="0.3">
      <c r="A10" s="30">
        <v>43590</v>
      </c>
      <c r="B10" s="32" t="s">
        <v>15</v>
      </c>
      <c r="C10" s="33" t="s">
        <v>16</v>
      </c>
      <c r="D10" s="36">
        <v>790000</v>
      </c>
      <c r="E10" s="35">
        <v>3</v>
      </c>
      <c r="F10" s="39">
        <f t="shared" si="0"/>
        <v>2370000</v>
      </c>
      <c r="Y10" s="4"/>
    </row>
    <row r="11" spans="1:25" ht="14.4" x14ac:dyDescent="0.3">
      <c r="A11" s="30">
        <v>43591</v>
      </c>
      <c r="B11" s="33" t="s">
        <v>8</v>
      </c>
      <c r="C11" s="32" t="s">
        <v>17</v>
      </c>
      <c r="D11" s="36">
        <v>375000</v>
      </c>
      <c r="E11" s="35">
        <v>2</v>
      </c>
      <c r="F11" s="39">
        <f t="shared" si="0"/>
        <v>750000</v>
      </c>
      <c r="Y11" s="4"/>
    </row>
    <row r="12" spans="1:25" ht="14.4" x14ac:dyDescent="0.3">
      <c r="A12" s="30">
        <v>43592</v>
      </c>
      <c r="B12" s="33" t="s">
        <v>10</v>
      </c>
      <c r="C12" s="33" t="s">
        <v>9</v>
      </c>
      <c r="D12" s="36">
        <v>590000</v>
      </c>
      <c r="E12" s="35">
        <v>3</v>
      </c>
      <c r="F12" s="38">
        <f t="shared" si="0"/>
        <v>1770000</v>
      </c>
      <c r="Y12" s="4"/>
    </row>
    <row r="13" spans="1:25" ht="14.4" x14ac:dyDescent="0.3">
      <c r="A13" s="30">
        <v>43593</v>
      </c>
      <c r="B13" s="33" t="s">
        <v>8</v>
      </c>
      <c r="C13" s="32" t="s">
        <v>11</v>
      </c>
      <c r="D13" s="36">
        <v>750000</v>
      </c>
      <c r="E13" s="35">
        <v>2</v>
      </c>
      <c r="F13" s="39">
        <f t="shared" si="0"/>
        <v>1500000</v>
      </c>
      <c r="Y13" s="4"/>
    </row>
    <row r="14" spans="1:25" ht="14.4" x14ac:dyDescent="0.3">
      <c r="A14" s="31">
        <v>43594</v>
      </c>
      <c r="B14" s="33" t="s">
        <v>13</v>
      </c>
      <c r="C14" s="32" t="s">
        <v>9</v>
      </c>
      <c r="D14" s="36">
        <v>590000</v>
      </c>
      <c r="E14" s="34">
        <v>3</v>
      </c>
      <c r="F14" s="39">
        <f t="shared" si="0"/>
        <v>1770000</v>
      </c>
      <c r="L14" s="29"/>
      <c r="Y14" s="4"/>
    </row>
    <row r="15" spans="1:25" ht="14.4" x14ac:dyDescent="0.3">
      <c r="A15" s="30">
        <v>43595</v>
      </c>
      <c r="B15" s="33" t="s">
        <v>12</v>
      </c>
      <c r="C15" s="33" t="s">
        <v>11</v>
      </c>
      <c r="D15" s="36">
        <v>750000</v>
      </c>
      <c r="E15" s="34">
        <v>2</v>
      </c>
      <c r="F15" s="39">
        <f t="shared" si="0"/>
        <v>1500000</v>
      </c>
      <c r="Y15" s="4"/>
    </row>
    <row r="16" spans="1:25" ht="14.4" x14ac:dyDescent="0.3">
      <c r="A16" s="30">
        <v>43596</v>
      </c>
      <c r="B16" s="33" t="s">
        <v>10</v>
      </c>
      <c r="C16" s="33" t="s">
        <v>14</v>
      </c>
      <c r="D16" s="36">
        <v>460000</v>
      </c>
      <c r="E16" s="34">
        <v>1</v>
      </c>
      <c r="F16" s="39">
        <f t="shared" si="0"/>
        <v>460000</v>
      </c>
      <c r="Y16" s="4"/>
    </row>
    <row r="17" spans="1:25" ht="14.4" x14ac:dyDescent="0.3">
      <c r="A17" s="30">
        <v>43597</v>
      </c>
      <c r="B17" s="33" t="s">
        <v>13</v>
      </c>
      <c r="C17" s="32" t="s">
        <v>14</v>
      </c>
      <c r="D17" s="36">
        <v>460000</v>
      </c>
      <c r="E17" s="34">
        <v>1</v>
      </c>
      <c r="F17" s="39">
        <f t="shared" si="0"/>
        <v>460000</v>
      </c>
      <c r="Y17" s="4"/>
    </row>
    <row r="18" spans="1:25" ht="14.4" x14ac:dyDescent="0.3">
      <c r="A18" s="30">
        <v>43598</v>
      </c>
      <c r="B18" s="33" t="s">
        <v>15</v>
      </c>
      <c r="C18" s="33" t="s">
        <v>11</v>
      </c>
      <c r="D18" s="36">
        <v>750000</v>
      </c>
      <c r="E18" s="35">
        <v>1</v>
      </c>
      <c r="F18" s="39">
        <f t="shared" si="0"/>
        <v>750000</v>
      </c>
      <c r="Y18" s="4"/>
    </row>
    <row r="19" spans="1:25" ht="14.4" x14ac:dyDescent="0.3">
      <c r="A19" s="30">
        <v>43599</v>
      </c>
      <c r="B19" s="33" t="s">
        <v>15</v>
      </c>
      <c r="C19" s="33" t="s">
        <v>9</v>
      </c>
      <c r="D19" s="36">
        <v>590000</v>
      </c>
      <c r="E19" s="34">
        <v>2</v>
      </c>
      <c r="F19" s="39">
        <f t="shared" si="0"/>
        <v>1180000</v>
      </c>
      <c r="Y19" s="4"/>
    </row>
    <row r="20" spans="1:25" ht="14.4" x14ac:dyDescent="0.3">
      <c r="A20" s="31">
        <v>43600</v>
      </c>
      <c r="B20" s="33" t="s">
        <v>8</v>
      </c>
      <c r="C20" s="32" t="s">
        <v>17</v>
      </c>
      <c r="D20" s="36">
        <v>375000</v>
      </c>
      <c r="E20" s="34">
        <v>2</v>
      </c>
      <c r="F20" s="38">
        <f t="shared" si="0"/>
        <v>750000</v>
      </c>
      <c r="Y20" s="4"/>
    </row>
    <row r="21" spans="1:25" ht="15.75" customHeight="1" x14ac:dyDescent="0.3">
      <c r="A21" s="30">
        <v>43601</v>
      </c>
      <c r="B21" s="32" t="s">
        <v>10</v>
      </c>
      <c r="C21" s="32" t="s">
        <v>16</v>
      </c>
      <c r="D21" s="37">
        <v>790000</v>
      </c>
      <c r="E21" s="35">
        <v>1</v>
      </c>
      <c r="F21" s="39">
        <f t="shared" si="0"/>
        <v>790000</v>
      </c>
      <c r="Y21" s="4"/>
    </row>
    <row r="22" spans="1:25" ht="15.75" customHeight="1" x14ac:dyDescent="0.3">
      <c r="A22" s="30">
        <v>43602</v>
      </c>
      <c r="B22" s="33" t="s">
        <v>12</v>
      </c>
      <c r="C22" s="33" t="s">
        <v>16</v>
      </c>
      <c r="D22" s="36">
        <v>790000</v>
      </c>
      <c r="E22" s="34">
        <v>1</v>
      </c>
      <c r="F22" s="39">
        <f t="shared" si="0"/>
        <v>790000</v>
      </c>
      <c r="Y22" s="4"/>
    </row>
    <row r="23" spans="1:25" ht="15.75" customHeight="1" x14ac:dyDescent="0.3">
      <c r="A23" s="30">
        <v>43603</v>
      </c>
      <c r="B23" s="33" t="s">
        <v>18</v>
      </c>
      <c r="C23" s="33" t="s">
        <v>9</v>
      </c>
      <c r="D23" s="36">
        <v>590000</v>
      </c>
      <c r="E23" s="35">
        <v>2</v>
      </c>
      <c r="F23" s="39">
        <f t="shared" si="0"/>
        <v>1180000</v>
      </c>
      <c r="Y23" s="4"/>
    </row>
    <row r="24" spans="1:25" ht="15.75" customHeight="1" x14ac:dyDescent="0.3">
      <c r="A24" s="30">
        <v>43604</v>
      </c>
      <c r="B24" s="33" t="s">
        <v>10</v>
      </c>
      <c r="C24" s="32" t="s">
        <v>17</v>
      </c>
      <c r="D24" s="36">
        <v>375000</v>
      </c>
      <c r="E24" s="35">
        <v>1</v>
      </c>
      <c r="F24" s="39">
        <f t="shared" si="0"/>
        <v>375000</v>
      </c>
      <c r="Y24" s="4"/>
    </row>
    <row r="25" spans="1:25" ht="15.75" customHeight="1" x14ac:dyDescent="0.3">
      <c r="A25" s="31">
        <v>43605</v>
      </c>
      <c r="B25" s="33" t="s">
        <v>18</v>
      </c>
      <c r="C25" s="33" t="s">
        <v>9</v>
      </c>
      <c r="D25" s="36">
        <v>590000</v>
      </c>
      <c r="E25" s="35">
        <v>1</v>
      </c>
      <c r="F25" s="39">
        <f t="shared" si="0"/>
        <v>590000</v>
      </c>
      <c r="Y25" s="4"/>
    </row>
    <row r="26" spans="1:25" ht="15.75" customHeight="1" x14ac:dyDescent="0.3">
      <c r="A26" s="30">
        <v>43606</v>
      </c>
      <c r="B26" s="33" t="s">
        <v>15</v>
      </c>
      <c r="C26" s="33" t="s">
        <v>11</v>
      </c>
      <c r="D26" s="36">
        <v>750000</v>
      </c>
      <c r="E26" s="35">
        <v>1</v>
      </c>
      <c r="F26" s="38">
        <f t="shared" si="0"/>
        <v>750000</v>
      </c>
      <c r="Y26" s="4"/>
    </row>
    <row r="27" spans="1:25" ht="15.75" customHeight="1" x14ac:dyDescent="0.3">
      <c r="A27" s="30">
        <v>43607</v>
      </c>
      <c r="B27" s="33" t="s">
        <v>12</v>
      </c>
      <c r="C27" s="32" t="s">
        <v>14</v>
      </c>
      <c r="D27" s="36">
        <v>460000</v>
      </c>
      <c r="E27" s="35">
        <v>1</v>
      </c>
      <c r="F27" s="39">
        <f t="shared" si="0"/>
        <v>460000</v>
      </c>
      <c r="Y27" s="4"/>
    </row>
    <row r="28" spans="1:25" ht="15.75" customHeight="1" x14ac:dyDescent="0.3">
      <c r="A28" s="30">
        <v>43608</v>
      </c>
      <c r="B28" s="33" t="s">
        <v>12</v>
      </c>
      <c r="C28" s="33" t="s">
        <v>14</v>
      </c>
      <c r="D28" s="36">
        <v>460000</v>
      </c>
      <c r="E28" s="34">
        <v>3</v>
      </c>
      <c r="F28" s="39">
        <f t="shared" si="0"/>
        <v>1380000</v>
      </c>
      <c r="Y28" s="4"/>
    </row>
    <row r="29" spans="1:25" ht="15.75" customHeight="1" x14ac:dyDescent="0.3">
      <c r="A29" s="30">
        <v>43609</v>
      </c>
      <c r="B29" s="32" t="s">
        <v>15</v>
      </c>
      <c r="C29" s="33" t="s">
        <v>17</v>
      </c>
      <c r="D29" s="37">
        <v>375000</v>
      </c>
      <c r="E29" s="35">
        <v>1</v>
      </c>
      <c r="F29" s="39">
        <f t="shared" si="0"/>
        <v>375000</v>
      </c>
      <c r="Y29" s="4"/>
    </row>
    <row r="30" spans="1:25" ht="15.75" customHeight="1" x14ac:dyDescent="0.3">
      <c r="A30" s="30">
        <v>43610</v>
      </c>
      <c r="B30" s="33" t="s">
        <v>8</v>
      </c>
      <c r="C30" s="32" t="s">
        <v>16</v>
      </c>
      <c r="D30" s="36">
        <v>790000</v>
      </c>
      <c r="E30" s="35">
        <v>2</v>
      </c>
      <c r="F30" s="39">
        <f t="shared" si="0"/>
        <v>1580000</v>
      </c>
      <c r="Y30" s="4"/>
    </row>
    <row r="31" spans="1:25" ht="15.75" customHeight="1" x14ac:dyDescent="0.3">
      <c r="A31" s="30">
        <v>43611</v>
      </c>
      <c r="B31" s="33" t="s">
        <v>13</v>
      </c>
      <c r="C31" s="32" t="s">
        <v>9</v>
      </c>
      <c r="D31" s="36">
        <v>590000</v>
      </c>
      <c r="E31" s="35">
        <v>1</v>
      </c>
      <c r="F31" s="39">
        <f t="shared" si="0"/>
        <v>590000</v>
      </c>
      <c r="Y31" s="4"/>
    </row>
    <row r="32" spans="1:25" ht="15.75" customHeight="1" x14ac:dyDescent="0.3">
      <c r="A32" s="30">
        <v>43612</v>
      </c>
      <c r="B32" s="33" t="s">
        <v>10</v>
      </c>
      <c r="C32" s="33" t="s">
        <v>17</v>
      </c>
      <c r="D32" s="36">
        <v>375000</v>
      </c>
      <c r="E32" s="35">
        <v>1</v>
      </c>
      <c r="F32" s="39">
        <f t="shared" si="0"/>
        <v>375000</v>
      </c>
      <c r="Y32" s="4"/>
    </row>
    <row r="33" spans="1:25" ht="15.75" customHeight="1" x14ac:dyDescent="0.3">
      <c r="A33" s="31">
        <v>43613</v>
      </c>
      <c r="B33" s="32" t="s">
        <v>8</v>
      </c>
      <c r="C33" s="32" t="s">
        <v>9</v>
      </c>
      <c r="D33" s="37">
        <v>590000</v>
      </c>
      <c r="E33" s="35">
        <v>3</v>
      </c>
      <c r="F33" s="39">
        <f t="shared" si="0"/>
        <v>1770000</v>
      </c>
      <c r="Y33" s="4"/>
    </row>
    <row r="34" spans="1:25" ht="15.75" customHeight="1" x14ac:dyDescent="0.3">
      <c r="A34" s="30">
        <v>43614</v>
      </c>
      <c r="B34" s="32" t="s">
        <v>10</v>
      </c>
      <c r="C34" s="32" t="s">
        <v>11</v>
      </c>
      <c r="D34" s="36">
        <v>750000</v>
      </c>
      <c r="E34" s="35">
        <v>1</v>
      </c>
      <c r="F34" s="39">
        <f t="shared" si="0"/>
        <v>750000</v>
      </c>
      <c r="Y34" s="4"/>
    </row>
    <row r="35" spans="1:25" ht="15.75" customHeight="1" x14ac:dyDescent="0.3">
      <c r="A35" s="30">
        <v>43615</v>
      </c>
      <c r="B35" s="33" t="s">
        <v>18</v>
      </c>
      <c r="C35" s="32" t="s">
        <v>14</v>
      </c>
      <c r="D35" s="36">
        <v>460000</v>
      </c>
      <c r="E35" s="35">
        <v>1</v>
      </c>
      <c r="F35" s="38">
        <f t="shared" si="0"/>
        <v>460000</v>
      </c>
      <c r="Y35" s="4"/>
    </row>
    <row r="36" spans="1:25" ht="15.75" customHeight="1" x14ac:dyDescent="0.3"/>
    <row r="37" spans="1:25" ht="15.75" customHeight="1" x14ac:dyDescent="0.3"/>
    <row r="38" spans="1:25" ht="15.75" customHeight="1" x14ac:dyDescent="0.3"/>
    <row r="39" spans="1:25" ht="15.75" customHeight="1" x14ac:dyDescent="0.3"/>
    <row r="40" spans="1:25" ht="15.75" customHeight="1" x14ac:dyDescent="0.3"/>
    <row r="41" spans="1:25" ht="15.75" customHeight="1" x14ac:dyDescent="0.3"/>
    <row r="42" spans="1:25" ht="15.75" customHeight="1" x14ac:dyDescent="0.3"/>
    <row r="43" spans="1:25" ht="15.75" customHeight="1" x14ac:dyDescent="0.3"/>
    <row r="44" spans="1:25" ht="15.75" customHeight="1" x14ac:dyDescent="0.3"/>
    <row r="45" spans="1:25" ht="15.75" customHeight="1" x14ac:dyDescent="0.3"/>
    <row r="46" spans="1:25" ht="15.75" customHeight="1" x14ac:dyDescent="0.3"/>
    <row r="47" spans="1:25" ht="15.75" customHeight="1" x14ac:dyDescent="0.3"/>
    <row r="48" spans="1:2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4:C4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1" sqref="F1:F1048576"/>
    </sheetView>
  </sheetViews>
  <sheetFormatPr defaultColWidth="14.44140625" defaultRowHeight="15" customHeight="1" x14ac:dyDescent="0.3"/>
  <cols>
    <col min="1" max="1" width="11" customWidth="1"/>
    <col min="2" max="2" width="17.21875" customWidth="1"/>
    <col min="3" max="3" width="12.21875" customWidth="1"/>
    <col min="4" max="4" width="12" customWidth="1"/>
    <col min="5" max="5" width="6.33203125" customWidth="1"/>
    <col min="6" max="6" width="13.6640625" customWidth="1"/>
    <col min="7" max="7" width="8.77734375" customWidth="1"/>
    <col min="8" max="8" width="11.44140625" customWidth="1"/>
    <col min="9" max="26" width="8.77734375" customWidth="1"/>
  </cols>
  <sheetData>
    <row r="1" spans="1:8" ht="14.4" x14ac:dyDescent="0.3">
      <c r="A1" s="1" t="s">
        <v>19</v>
      </c>
    </row>
    <row r="4" spans="1:8" ht="14.4" x14ac:dyDescent="0.3">
      <c r="A4" s="48" t="s">
        <v>1</v>
      </c>
      <c r="B4" s="49"/>
      <c r="C4" s="50"/>
    </row>
    <row r="5" spans="1:8" ht="14.4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8" ht="14.4" x14ac:dyDescent="0.3">
      <c r="A6" s="7">
        <v>43586</v>
      </c>
      <c r="B6" s="8" t="s">
        <v>8</v>
      </c>
      <c r="C6" s="8" t="s">
        <v>9</v>
      </c>
      <c r="D6" s="9">
        <v>590000</v>
      </c>
      <c r="E6" s="10">
        <v>1</v>
      </c>
      <c r="F6" s="40">
        <f t="shared" ref="F6:F35" si="0">D6*E6</f>
        <v>590000</v>
      </c>
      <c r="H6" s="5"/>
    </row>
    <row r="7" spans="1:8" ht="14.4" x14ac:dyDescent="0.3">
      <c r="A7" s="7">
        <v>43587</v>
      </c>
      <c r="B7" s="8" t="s">
        <v>10</v>
      </c>
      <c r="C7" s="8" t="s">
        <v>11</v>
      </c>
      <c r="D7" s="9">
        <v>750000</v>
      </c>
      <c r="E7" s="10">
        <v>2</v>
      </c>
      <c r="F7" s="40">
        <f t="shared" si="0"/>
        <v>1500000</v>
      </c>
    </row>
    <row r="8" spans="1:8" ht="14.4" x14ac:dyDescent="0.3">
      <c r="A8" s="7">
        <v>43588</v>
      </c>
      <c r="B8" s="8" t="s">
        <v>12</v>
      </c>
      <c r="C8" s="8" t="s">
        <v>9</v>
      </c>
      <c r="D8" s="9">
        <v>590000</v>
      </c>
      <c r="E8" s="10">
        <v>1</v>
      </c>
      <c r="F8" s="40">
        <f t="shared" si="0"/>
        <v>590000</v>
      </c>
    </row>
    <row r="9" spans="1:8" ht="14.4" x14ac:dyDescent="0.3">
      <c r="A9" s="7">
        <v>43589</v>
      </c>
      <c r="B9" s="8" t="s">
        <v>13</v>
      </c>
      <c r="C9" s="8" t="s">
        <v>14</v>
      </c>
      <c r="D9" s="9">
        <v>460000</v>
      </c>
      <c r="E9" s="10">
        <v>1</v>
      </c>
      <c r="F9" s="40">
        <f t="shared" si="0"/>
        <v>460000</v>
      </c>
    </row>
    <row r="10" spans="1:8" ht="14.4" x14ac:dyDescent="0.3">
      <c r="A10" s="7">
        <v>43590</v>
      </c>
      <c r="B10" s="8" t="s">
        <v>15</v>
      </c>
      <c r="C10" s="11" t="s">
        <v>16</v>
      </c>
      <c r="D10" s="12">
        <v>790000</v>
      </c>
      <c r="E10" s="10">
        <v>3</v>
      </c>
      <c r="F10" s="41">
        <f t="shared" si="0"/>
        <v>2370000</v>
      </c>
    </row>
    <row r="11" spans="1:8" ht="14.4" x14ac:dyDescent="0.3">
      <c r="A11" s="7">
        <v>43591</v>
      </c>
      <c r="B11" s="8" t="s">
        <v>8</v>
      </c>
      <c r="C11" s="8" t="s">
        <v>17</v>
      </c>
      <c r="D11" s="9">
        <v>375000</v>
      </c>
      <c r="E11" s="10">
        <v>2</v>
      </c>
      <c r="F11" s="40">
        <f t="shared" si="0"/>
        <v>750000</v>
      </c>
    </row>
    <row r="12" spans="1:8" ht="14.4" x14ac:dyDescent="0.3">
      <c r="A12" s="7">
        <v>43592</v>
      </c>
      <c r="B12" s="8" t="s">
        <v>10</v>
      </c>
      <c r="C12" s="8" t="s">
        <v>9</v>
      </c>
      <c r="D12" s="12">
        <v>590000</v>
      </c>
      <c r="E12" s="10">
        <v>3</v>
      </c>
      <c r="F12" s="40">
        <f t="shared" si="0"/>
        <v>1770000</v>
      </c>
    </row>
    <row r="13" spans="1:8" ht="14.4" x14ac:dyDescent="0.3">
      <c r="A13" s="7">
        <v>43593</v>
      </c>
      <c r="B13" s="8" t="s">
        <v>8</v>
      </c>
      <c r="C13" s="8" t="s">
        <v>11</v>
      </c>
      <c r="D13" s="9">
        <v>750000</v>
      </c>
      <c r="E13" s="10">
        <v>2</v>
      </c>
      <c r="F13" s="40">
        <f t="shared" si="0"/>
        <v>1500000</v>
      </c>
    </row>
    <row r="14" spans="1:8" ht="14.4" x14ac:dyDescent="0.3">
      <c r="A14" s="13">
        <v>43594</v>
      </c>
      <c r="B14" s="11" t="s">
        <v>13</v>
      </c>
      <c r="C14" s="8" t="s">
        <v>9</v>
      </c>
      <c r="D14" s="12">
        <v>590000</v>
      </c>
      <c r="E14" s="10">
        <v>3</v>
      </c>
      <c r="F14" s="40">
        <f t="shared" si="0"/>
        <v>1770000</v>
      </c>
    </row>
    <row r="15" spans="1:8" ht="14.4" x14ac:dyDescent="0.3">
      <c r="A15" s="7">
        <v>43595</v>
      </c>
      <c r="B15" s="8" t="s">
        <v>12</v>
      </c>
      <c r="C15" s="8" t="s">
        <v>11</v>
      </c>
      <c r="D15" s="9">
        <v>750000</v>
      </c>
      <c r="E15" s="10">
        <v>2</v>
      </c>
      <c r="F15" s="40">
        <f t="shared" si="0"/>
        <v>1500000</v>
      </c>
    </row>
    <row r="16" spans="1:8" ht="14.4" x14ac:dyDescent="0.3">
      <c r="A16" s="7">
        <v>43596</v>
      </c>
      <c r="B16" s="8" t="s">
        <v>10</v>
      </c>
      <c r="C16" s="11" t="s">
        <v>14</v>
      </c>
      <c r="D16" s="9">
        <v>460000</v>
      </c>
      <c r="E16" s="10">
        <v>1</v>
      </c>
      <c r="F16" s="40">
        <f t="shared" si="0"/>
        <v>460000</v>
      </c>
    </row>
    <row r="17" spans="1:6" ht="14.4" x14ac:dyDescent="0.3">
      <c r="A17" s="7">
        <v>43597</v>
      </c>
      <c r="B17" s="11" t="s">
        <v>13</v>
      </c>
      <c r="C17" s="8" t="s">
        <v>14</v>
      </c>
      <c r="D17" s="9">
        <v>460000</v>
      </c>
      <c r="E17" s="14">
        <v>1</v>
      </c>
      <c r="F17" s="40">
        <f t="shared" si="0"/>
        <v>460000</v>
      </c>
    </row>
    <row r="18" spans="1:6" ht="14.4" x14ac:dyDescent="0.3">
      <c r="A18" s="7">
        <v>43598</v>
      </c>
      <c r="B18" s="8" t="s">
        <v>15</v>
      </c>
      <c r="C18" s="11" t="s">
        <v>11</v>
      </c>
      <c r="D18" s="12">
        <v>750000</v>
      </c>
      <c r="E18" s="10">
        <v>1</v>
      </c>
      <c r="F18" s="40">
        <f t="shared" si="0"/>
        <v>750000</v>
      </c>
    </row>
    <row r="19" spans="1:6" ht="14.4" x14ac:dyDescent="0.3">
      <c r="A19" s="7">
        <v>43599</v>
      </c>
      <c r="B19" s="11" t="s">
        <v>15</v>
      </c>
      <c r="C19" s="8" t="s">
        <v>9</v>
      </c>
      <c r="D19" s="9">
        <v>590000</v>
      </c>
      <c r="E19" s="14">
        <v>2</v>
      </c>
      <c r="F19" s="40">
        <f t="shared" si="0"/>
        <v>1180000</v>
      </c>
    </row>
    <row r="20" spans="1:6" ht="14.4" x14ac:dyDescent="0.3">
      <c r="A20" s="13">
        <v>43600</v>
      </c>
      <c r="B20" s="8" t="s">
        <v>8</v>
      </c>
      <c r="C20" s="8" t="s">
        <v>17</v>
      </c>
      <c r="D20" s="9">
        <v>375000</v>
      </c>
      <c r="E20" s="10">
        <v>2</v>
      </c>
      <c r="F20" s="40">
        <f t="shared" si="0"/>
        <v>750000</v>
      </c>
    </row>
    <row r="21" spans="1:6" ht="15.75" customHeight="1" x14ac:dyDescent="0.3">
      <c r="A21" s="7">
        <v>43601</v>
      </c>
      <c r="B21" s="8" t="s">
        <v>10</v>
      </c>
      <c r="C21" s="8" t="s">
        <v>16</v>
      </c>
      <c r="D21" s="9">
        <v>790000</v>
      </c>
      <c r="E21" s="10">
        <v>1</v>
      </c>
      <c r="F21" s="40">
        <f t="shared" si="0"/>
        <v>790000</v>
      </c>
    </row>
    <row r="22" spans="1:6" ht="15.75" customHeight="1" x14ac:dyDescent="0.3">
      <c r="A22" s="7">
        <v>43602</v>
      </c>
      <c r="B22" s="8" t="s">
        <v>12</v>
      </c>
      <c r="C22" s="8" t="s">
        <v>16</v>
      </c>
      <c r="D22" s="12">
        <v>790000</v>
      </c>
      <c r="E22" s="10">
        <v>1</v>
      </c>
      <c r="F22" s="40">
        <f t="shared" si="0"/>
        <v>790000</v>
      </c>
    </row>
    <row r="23" spans="1:6" ht="15.75" customHeight="1" x14ac:dyDescent="0.3">
      <c r="A23" s="7">
        <v>43603</v>
      </c>
      <c r="B23" s="8" t="s">
        <v>18</v>
      </c>
      <c r="C23" s="8" t="s">
        <v>9</v>
      </c>
      <c r="D23" s="9">
        <v>590000</v>
      </c>
      <c r="E23" s="10">
        <v>2</v>
      </c>
      <c r="F23" s="40">
        <f t="shared" si="0"/>
        <v>1180000</v>
      </c>
    </row>
    <row r="24" spans="1:6" ht="15.75" customHeight="1" x14ac:dyDescent="0.3">
      <c r="A24" s="7">
        <v>43604</v>
      </c>
      <c r="B24" s="8" t="s">
        <v>10</v>
      </c>
      <c r="C24" s="8" t="s">
        <v>17</v>
      </c>
      <c r="D24" s="12">
        <v>375000</v>
      </c>
      <c r="E24" s="10">
        <v>2</v>
      </c>
      <c r="F24" s="40">
        <f t="shared" si="0"/>
        <v>750000</v>
      </c>
    </row>
    <row r="25" spans="1:6" ht="15.75" customHeight="1" x14ac:dyDescent="0.3">
      <c r="A25" s="13">
        <v>43605</v>
      </c>
      <c r="B25" s="8" t="s">
        <v>18</v>
      </c>
      <c r="C25" s="11" t="s">
        <v>9</v>
      </c>
      <c r="D25" s="9">
        <v>590000</v>
      </c>
      <c r="E25" s="10">
        <v>1</v>
      </c>
      <c r="F25" s="40">
        <f t="shared" si="0"/>
        <v>590000</v>
      </c>
    </row>
    <row r="26" spans="1:6" ht="15.75" customHeight="1" x14ac:dyDescent="0.3">
      <c r="A26" s="7">
        <v>43606</v>
      </c>
      <c r="B26" s="11" t="s">
        <v>15</v>
      </c>
      <c r="C26" s="11" t="s">
        <v>11</v>
      </c>
      <c r="D26" s="9">
        <v>750000</v>
      </c>
      <c r="E26" s="10">
        <v>1</v>
      </c>
      <c r="F26" s="40">
        <f t="shared" si="0"/>
        <v>750000</v>
      </c>
    </row>
    <row r="27" spans="1:6" ht="15.75" customHeight="1" x14ac:dyDescent="0.3">
      <c r="A27" s="7">
        <v>43607</v>
      </c>
      <c r="B27" s="8" t="s">
        <v>12</v>
      </c>
      <c r="C27" s="8" t="s">
        <v>14</v>
      </c>
      <c r="D27" s="9">
        <v>460000</v>
      </c>
      <c r="E27" s="10">
        <v>1</v>
      </c>
      <c r="F27" s="40">
        <f t="shared" si="0"/>
        <v>460000</v>
      </c>
    </row>
    <row r="28" spans="1:6" ht="15.75" customHeight="1" x14ac:dyDescent="0.3">
      <c r="A28" s="7">
        <v>43608</v>
      </c>
      <c r="B28" s="8" t="s">
        <v>12</v>
      </c>
      <c r="C28" s="11" t="s">
        <v>14</v>
      </c>
      <c r="D28" s="12">
        <v>460000</v>
      </c>
      <c r="E28" s="10">
        <v>3</v>
      </c>
      <c r="F28" s="40">
        <f t="shared" si="0"/>
        <v>1380000</v>
      </c>
    </row>
    <row r="29" spans="1:6" ht="15.75" customHeight="1" x14ac:dyDescent="0.3">
      <c r="A29" s="7">
        <v>43609</v>
      </c>
      <c r="B29" s="8" t="s">
        <v>15</v>
      </c>
      <c r="C29" s="8" t="s">
        <v>17</v>
      </c>
      <c r="D29" s="9">
        <v>375000</v>
      </c>
      <c r="E29" s="10">
        <v>1</v>
      </c>
      <c r="F29" s="41">
        <f t="shared" si="0"/>
        <v>375000</v>
      </c>
    </row>
    <row r="30" spans="1:6" ht="15.75" customHeight="1" x14ac:dyDescent="0.3">
      <c r="A30" s="7">
        <v>43610</v>
      </c>
      <c r="B30" s="8" t="s">
        <v>8</v>
      </c>
      <c r="C30" s="8" t="s">
        <v>16</v>
      </c>
      <c r="D30" s="9">
        <v>790000</v>
      </c>
      <c r="E30" s="10">
        <v>2</v>
      </c>
      <c r="F30" s="40">
        <f t="shared" si="0"/>
        <v>1580000</v>
      </c>
    </row>
    <row r="31" spans="1:6" ht="15.75" customHeight="1" x14ac:dyDescent="0.3">
      <c r="A31" s="7">
        <v>43611</v>
      </c>
      <c r="B31" s="11" t="s">
        <v>13</v>
      </c>
      <c r="C31" s="8" t="s">
        <v>9</v>
      </c>
      <c r="D31" s="9">
        <v>590000</v>
      </c>
      <c r="E31" s="10">
        <v>1</v>
      </c>
      <c r="F31" s="40">
        <f t="shared" si="0"/>
        <v>590000</v>
      </c>
    </row>
    <row r="32" spans="1:6" ht="15.75" customHeight="1" x14ac:dyDescent="0.3">
      <c r="A32" s="7">
        <v>43612</v>
      </c>
      <c r="B32" s="8" t="s">
        <v>10</v>
      </c>
      <c r="C32" s="8" t="s">
        <v>17</v>
      </c>
      <c r="D32" s="12">
        <v>375000</v>
      </c>
      <c r="E32" s="10">
        <v>2</v>
      </c>
      <c r="F32" s="40">
        <f t="shared" si="0"/>
        <v>750000</v>
      </c>
    </row>
    <row r="33" spans="1:6" ht="15.75" customHeight="1" x14ac:dyDescent="0.3">
      <c r="A33" s="13">
        <v>43613</v>
      </c>
      <c r="B33" s="8" t="s">
        <v>8</v>
      </c>
      <c r="C33" s="8" t="s">
        <v>9</v>
      </c>
      <c r="D33" s="9">
        <v>590000</v>
      </c>
      <c r="E33" s="10">
        <v>3</v>
      </c>
      <c r="F33" s="40">
        <f t="shared" si="0"/>
        <v>1770000</v>
      </c>
    </row>
    <row r="34" spans="1:6" ht="15.75" customHeight="1" x14ac:dyDescent="0.3">
      <c r="A34" s="7">
        <v>43614</v>
      </c>
      <c r="B34" s="8" t="s">
        <v>10</v>
      </c>
      <c r="C34" s="8" t="s">
        <v>11</v>
      </c>
      <c r="D34" s="12">
        <v>750000</v>
      </c>
      <c r="E34" s="10">
        <v>1</v>
      </c>
      <c r="F34" s="40">
        <f t="shared" si="0"/>
        <v>750000</v>
      </c>
    </row>
    <row r="35" spans="1:6" ht="15.75" customHeight="1" x14ac:dyDescent="0.3">
      <c r="A35" s="7">
        <v>43615</v>
      </c>
      <c r="B35" s="8" t="s">
        <v>18</v>
      </c>
      <c r="C35" s="8" t="s">
        <v>14</v>
      </c>
      <c r="D35" s="9">
        <v>460000</v>
      </c>
      <c r="E35" s="10">
        <v>1</v>
      </c>
      <c r="F35" s="40">
        <f t="shared" si="0"/>
        <v>460000</v>
      </c>
    </row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4:C4"/>
  </mergeCells>
  <conditionalFormatting sqref="F6:F35">
    <cfRule type="top10" dxfId="3" priority="1" bottom="1" rank="1"/>
    <cfRule type="top10" dxfId="2" priority="2" rank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A5" sqref="A5"/>
    </sheetView>
  </sheetViews>
  <sheetFormatPr defaultColWidth="14.44140625" defaultRowHeight="15" customHeight="1" x14ac:dyDescent="0.3"/>
  <cols>
    <col min="1" max="8" width="8.77734375" customWidth="1"/>
    <col min="9" max="9" width="23.6640625" customWidth="1"/>
    <col min="10" max="26" width="8.77734375" customWidth="1"/>
  </cols>
  <sheetData>
    <row r="1" spans="1:10" ht="14.4" x14ac:dyDescent="0.3">
      <c r="A1" s="1" t="s">
        <v>20</v>
      </c>
    </row>
    <row r="2" spans="1:10" ht="14.4" x14ac:dyDescent="0.3">
      <c r="A2" s="1" t="s">
        <v>21</v>
      </c>
    </row>
    <row r="3" spans="1:10" ht="14.4" x14ac:dyDescent="0.3">
      <c r="A3" s="1"/>
      <c r="I3" s="15" t="s">
        <v>22</v>
      </c>
      <c r="J3" s="15">
        <v>1000</v>
      </c>
    </row>
    <row r="4" spans="1:10" ht="14.4" x14ac:dyDescent="0.3">
      <c r="A4" s="51" t="s">
        <v>23</v>
      </c>
      <c r="B4" s="52"/>
      <c r="C4" s="53"/>
      <c r="I4" s="15" t="s">
        <v>24</v>
      </c>
      <c r="J4" s="16">
        <f>MIN(B6:G14)</f>
        <v>189.84375</v>
      </c>
    </row>
    <row r="5" spans="1:10" ht="14.4" x14ac:dyDescent="0.3">
      <c r="A5" s="45" t="s">
        <v>25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  <c r="I5" s="15" t="s">
        <v>32</v>
      </c>
      <c r="J5" s="16">
        <f>MAX(B6:G14)</f>
        <v>6831.0000000000018</v>
      </c>
    </row>
    <row r="6" spans="1:10" ht="14.4" x14ac:dyDescent="0.3">
      <c r="A6" s="15" t="s">
        <v>8</v>
      </c>
      <c r="B6" s="15">
        <v>1200</v>
      </c>
      <c r="C6" s="15">
        <v>840</v>
      </c>
      <c r="D6" s="15">
        <v>900</v>
      </c>
      <c r="E6" s="15">
        <v>1201</v>
      </c>
      <c r="F6" s="15">
        <v>840.69999999999993</v>
      </c>
      <c r="G6" s="15">
        <v>901</v>
      </c>
    </row>
    <row r="7" spans="1:10" ht="14.4" x14ac:dyDescent="0.3">
      <c r="A7" s="15" t="s">
        <v>10</v>
      </c>
      <c r="B7" s="15">
        <v>600</v>
      </c>
      <c r="C7" s="15">
        <v>420</v>
      </c>
      <c r="D7" s="15">
        <v>450</v>
      </c>
      <c r="E7" s="15">
        <v>600.5</v>
      </c>
      <c r="F7" s="15">
        <v>420.34999999999997</v>
      </c>
      <c r="G7" s="15">
        <v>450.5</v>
      </c>
    </row>
    <row r="8" spans="1:10" ht="14.4" x14ac:dyDescent="0.3">
      <c r="A8" s="15" t="s">
        <v>12</v>
      </c>
      <c r="B8" s="15">
        <v>720</v>
      </c>
      <c r="C8" s="15">
        <v>210</v>
      </c>
      <c r="D8" s="15">
        <v>1350</v>
      </c>
      <c r="E8" s="15">
        <v>720.6</v>
      </c>
      <c r="F8" s="15">
        <v>210.17499999999998</v>
      </c>
      <c r="G8" s="15">
        <v>1351.5</v>
      </c>
    </row>
    <row r="9" spans="1:10" ht="14.4" x14ac:dyDescent="0.3">
      <c r="A9" s="15" t="s">
        <v>13</v>
      </c>
      <c r="B9" s="15">
        <v>1320</v>
      </c>
      <c r="C9" s="15">
        <v>1242</v>
      </c>
      <c r="D9" s="15">
        <v>675</v>
      </c>
      <c r="E9" s="15">
        <v>1321.1000000000001</v>
      </c>
      <c r="F9" s="15">
        <v>920</v>
      </c>
      <c r="G9" s="15">
        <v>675.75</v>
      </c>
    </row>
    <row r="10" spans="1:10" ht="14.4" x14ac:dyDescent="0.3">
      <c r="A10" s="15" t="s">
        <v>15</v>
      </c>
      <c r="B10" s="15">
        <v>792</v>
      </c>
      <c r="C10" s="15">
        <v>1330</v>
      </c>
      <c r="D10" s="15">
        <v>1012.5</v>
      </c>
      <c r="E10" s="15">
        <v>792.66000000000008</v>
      </c>
      <c r="F10" s="15">
        <v>1380</v>
      </c>
      <c r="G10" s="15">
        <v>1013.625</v>
      </c>
    </row>
    <row r="11" spans="1:10" ht="14.4" x14ac:dyDescent="0.3">
      <c r="A11" s="15" t="s">
        <v>18</v>
      </c>
      <c r="B11" s="15">
        <v>1188</v>
      </c>
      <c r="C11" s="15">
        <v>1995</v>
      </c>
      <c r="D11" s="15">
        <v>506.25</v>
      </c>
      <c r="E11" s="15">
        <v>1250</v>
      </c>
      <c r="F11" s="15">
        <v>2070</v>
      </c>
      <c r="G11" s="15">
        <v>506.8125</v>
      </c>
    </row>
    <row r="12" spans="1:10" ht="14.4" x14ac:dyDescent="0.3">
      <c r="A12" s="15" t="s">
        <v>33</v>
      </c>
      <c r="B12" s="15">
        <v>1742.4</v>
      </c>
      <c r="C12" s="15">
        <v>2926.0000000000005</v>
      </c>
      <c r="D12" s="15">
        <v>253.125</v>
      </c>
      <c r="E12" s="15">
        <v>1743.8520000000003</v>
      </c>
      <c r="F12" s="15">
        <v>3036.0000000000005</v>
      </c>
      <c r="G12" s="15">
        <v>253.40625</v>
      </c>
    </row>
    <row r="13" spans="1:10" ht="14.4" x14ac:dyDescent="0.3">
      <c r="A13" s="15" t="s">
        <v>34</v>
      </c>
      <c r="B13" s="15">
        <v>1045.44</v>
      </c>
      <c r="C13" s="15">
        <v>4389.0000000000009</v>
      </c>
      <c r="D13" s="15">
        <v>379.6875</v>
      </c>
      <c r="E13" s="15">
        <v>1046.3112000000001</v>
      </c>
      <c r="F13" s="15">
        <v>4554.0000000000009</v>
      </c>
      <c r="G13" s="15">
        <v>380.109375</v>
      </c>
    </row>
    <row r="14" spans="1:10" ht="14.4" x14ac:dyDescent="0.3">
      <c r="A14" s="15" t="s">
        <v>35</v>
      </c>
      <c r="B14" s="15">
        <v>1568.16</v>
      </c>
      <c r="C14" s="15">
        <v>6583.5000000000018</v>
      </c>
      <c r="D14" s="15">
        <v>189.84375</v>
      </c>
      <c r="E14" s="15">
        <v>1569.4668000000001</v>
      </c>
      <c r="F14" s="15">
        <v>6831.0000000000018</v>
      </c>
      <c r="G14" s="15">
        <v>190.0546875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4:C4"/>
  </mergeCells>
  <conditionalFormatting sqref="B6:G14">
    <cfRule type="cellIs" dxfId="1" priority="1" operator="lessThan">
      <formula>$J$3</formula>
    </cfRule>
    <cfRule type="cellIs" dxfId="0" priority="2" operator="greaterThan">
      <formula>$J$3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J10" sqref="J10"/>
    </sheetView>
  </sheetViews>
  <sheetFormatPr defaultColWidth="14.44140625" defaultRowHeight="15" customHeight="1" x14ac:dyDescent="0.3"/>
  <cols>
    <col min="1" max="1" width="12.5546875" customWidth="1"/>
    <col min="2" max="3" width="8.77734375" customWidth="1"/>
    <col min="4" max="4" width="12" customWidth="1"/>
    <col min="5" max="5" width="6.33203125" customWidth="1"/>
    <col min="6" max="6" width="13.6640625" customWidth="1"/>
    <col min="7" max="8" width="8.77734375" customWidth="1"/>
    <col min="9" max="9" width="21.5546875" customWidth="1"/>
    <col min="10" max="10" width="14.6640625" customWidth="1"/>
    <col min="11" max="26" width="8.77734375" customWidth="1"/>
  </cols>
  <sheetData>
    <row r="1" spans="1:10" ht="14.4" x14ac:dyDescent="0.3">
      <c r="A1" s="1" t="s">
        <v>36</v>
      </c>
    </row>
    <row r="4" spans="1:10" ht="14.4" x14ac:dyDescent="0.3">
      <c r="A4" s="48" t="s">
        <v>1</v>
      </c>
      <c r="B4" s="49"/>
      <c r="C4" s="50"/>
    </row>
    <row r="5" spans="1:10" ht="14.4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I5" s="18" t="s">
        <v>37</v>
      </c>
      <c r="J5" s="18" t="s">
        <v>38</v>
      </c>
    </row>
    <row r="6" spans="1:10" ht="14.4" x14ac:dyDescent="0.3">
      <c r="A6" s="7">
        <v>43586</v>
      </c>
      <c r="B6" s="8" t="s">
        <v>8</v>
      </c>
      <c r="C6" s="8" t="s">
        <v>9</v>
      </c>
      <c r="D6" s="9">
        <v>590000</v>
      </c>
      <c r="E6" s="10">
        <v>1</v>
      </c>
      <c r="F6" s="9">
        <f t="shared" ref="F6:F35" si="0">D6*E6</f>
        <v>590000</v>
      </c>
      <c r="I6" s="15" t="s">
        <v>39</v>
      </c>
      <c r="J6" s="19">
        <f>SUM(F6:F35)</f>
        <v>29365000</v>
      </c>
    </row>
    <row r="7" spans="1:10" ht="14.4" x14ac:dyDescent="0.3">
      <c r="A7" s="7">
        <v>43587</v>
      </c>
      <c r="B7" s="8" t="s">
        <v>10</v>
      </c>
      <c r="C7" s="8" t="s">
        <v>11</v>
      </c>
      <c r="D7" s="9">
        <v>750000</v>
      </c>
      <c r="E7" s="10">
        <v>2</v>
      </c>
      <c r="F7" s="9">
        <f t="shared" si="0"/>
        <v>1500000</v>
      </c>
      <c r="I7" s="15" t="s">
        <v>40</v>
      </c>
      <c r="J7" s="20">
        <f>SUM(E6:E35)</f>
        <v>50</v>
      </c>
    </row>
    <row r="8" spans="1:10" ht="14.4" x14ac:dyDescent="0.3">
      <c r="A8" s="7">
        <v>43588</v>
      </c>
      <c r="B8" s="8" t="s">
        <v>12</v>
      </c>
      <c r="C8" s="8" t="s">
        <v>9</v>
      </c>
      <c r="D8" s="9">
        <v>590000</v>
      </c>
      <c r="E8" s="10">
        <v>1</v>
      </c>
      <c r="F8" s="9">
        <f t="shared" si="0"/>
        <v>590000</v>
      </c>
      <c r="I8" s="15" t="s">
        <v>41</v>
      </c>
      <c r="J8" s="20">
        <f>COUNT(E6:E35)</f>
        <v>30</v>
      </c>
    </row>
    <row r="9" spans="1:10" ht="14.4" x14ac:dyDescent="0.3">
      <c r="A9" s="7">
        <v>43589</v>
      </c>
      <c r="B9" s="8" t="s">
        <v>13</v>
      </c>
      <c r="C9" s="8" t="s">
        <v>14</v>
      </c>
      <c r="D9" s="9">
        <v>460000</v>
      </c>
      <c r="E9" s="10">
        <v>1</v>
      </c>
      <c r="F9" s="9">
        <f t="shared" si="0"/>
        <v>460000</v>
      </c>
      <c r="I9" s="15" t="s">
        <v>42</v>
      </c>
      <c r="J9" s="19">
        <f>AVERAGE(F6:F35)</f>
        <v>978833.33333333337</v>
      </c>
    </row>
    <row r="10" spans="1:10" ht="14.4" x14ac:dyDescent="0.3">
      <c r="A10" s="7">
        <v>43590</v>
      </c>
      <c r="B10" s="8" t="s">
        <v>15</v>
      </c>
      <c r="C10" s="11" t="s">
        <v>16</v>
      </c>
      <c r="D10" s="12">
        <v>790000</v>
      </c>
      <c r="E10" s="10">
        <v>3</v>
      </c>
      <c r="F10" s="12">
        <f t="shared" si="0"/>
        <v>2370000</v>
      </c>
    </row>
    <row r="11" spans="1:10" ht="14.4" x14ac:dyDescent="0.3">
      <c r="A11" s="7">
        <v>43591</v>
      </c>
      <c r="B11" s="8" t="s">
        <v>8</v>
      </c>
      <c r="C11" s="8" t="s">
        <v>17</v>
      </c>
      <c r="D11" s="9">
        <v>375000</v>
      </c>
      <c r="E11" s="10">
        <v>2</v>
      </c>
      <c r="F11" s="9">
        <f t="shared" si="0"/>
        <v>750000</v>
      </c>
    </row>
    <row r="12" spans="1:10" ht="14.4" x14ac:dyDescent="0.3">
      <c r="A12" s="7">
        <v>43592</v>
      </c>
      <c r="B12" s="8" t="s">
        <v>10</v>
      </c>
      <c r="C12" s="8" t="s">
        <v>9</v>
      </c>
      <c r="D12" s="12">
        <v>590000</v>
      </c>
      <c r="E12" s="10">
        <v>3</v>
      </c>
      <c r="F12" s="12">
        <f t="shared" si="0"/>
        <v>1770000</v>
      </c>
    </row>
    <row r="13" spans="1:10" ht="14.4" x14ac:dyDescent="0.3">
      <c r="A13" s="7">
        <v>43593</v>
      </c>
      <c r="B13" s="8" t="s">
        <v>8</v>
      </c>
      <c r="C13" s="8" t="s">
        <v>11</v>
      </c>
      <c r="D13" s="9">
        <v>750000</v>
      </c>
      <c r="E13" s="10">
        <v>2</v>
      </c>
      <c r="F13" s="9">
        <f t="shared" si="0"/>
        <v>1500000</v>
      </c>
    </row>
    <row r="14" spans="1:10" ht="14.4" x14ac:dyDescent="0.3">
      <c r="A14" s="13">
        <v>43594</v>
      </c>
      <c r="B14" s="11" t="s">
        <v>13</v>
      </c>
      <c r="C14" s="8" t="s">
        <v>9</v>
      </c>
      <c r="D14" s="12">
        <v>590000</v>
      </c>
      <c r="E14" s="10">
        <v>3</v>
      </c>
      <c r="F14" s="12">
        <f t="shared" si="0"/>
        <v>1770000</v>
      </c>
    </row>
    <row r="15" spans="1:10" ht="14.4" x14ac:dyDescent="0.3">
      <c r="A15" s="7">
        <v>43595</v>
      </c>
      <c r="B15" s="8" t="s">
        <v>12</v>
      </c>
      <c r="C15" s="8" t="s">
        <v>11</v>
      </c>
      <c r="D15" s="9">
        <v>750000</v>
      </c>
      <c r="E15" s="10">
        <v>2</v>
      </c>
      <c r="F15" s="9">
        <f t="shared" si="0"/>
        <v>1500000</v>
      </c>
    </row>
    <row r="16" spans="1:10" ht="14.4" x14ac:dyDescent="0.3">
      <c r="A16" s="7">
        <v>43596</v>
      </c>
      <c r="B16" s="8" t="s">
        <v>10</v>
      </c>
      <c r="C16" s="11" t="s">
        <v>14</v>
      </c>
      <c r="D16" s="9">
        <v>460000</v>
      </c>
      <c r="E16" s="10">
        <v>1</v>
      </c>
      <c r="F16" s="9">
        <f t="shared" si="0"/>
        <v>460000</v>
      </c>
    </row>
    <row r="17" spans="1:6" ht="14.4" x14ac:dyDescent="0.3">
      <c r="A17" s="7">
        <v>43597</v>
      </c>
      <c r="B17" s="11" t="s">
        <v>13</v>
      </c>
      <c r="C17" s="8" t="s">
        <v>14</v>
      </c>
      <c r="D17" s="9">
        <v>460000</v>
      </c>
      <c r="E17" s="14">
        <v>1</v>
      </c>
      <c r="F17" s="9">
        <f t="shared" si="0"/>
        <v>460000</v>
      </c>
    </row>
    <row r="18" spans="1:6" ht="14.4" x14ac:dyDescent="0.3">
      <c r="A18" s="7">
        <v>43598</v>
      </c>
      <c r="B18" s="8" t="s">
        <v>15</v>
      </c>
      <c r="C18" s="11" t="s">
        <v>11</v>
      </c>
      <c r="D18" s="12">
        <v>750000</v>
      </c>
      <c r="E18" s="10">
        <v>1</v>
      </c>
      <c r="F18" s="12">
        <f t="shared" si="0"/>
        <v>750000</v>
      </c>
    </row>
    <row r="19" spans="1:6" ht="14.4" x14ac:dyDescent="0.3">
      <c r="A19" s="7">
        <v>43599</v>
      </c>
      <c r="B19" s="11" t="s">
        <v>15</v>
      </c>
      <c r="C19" s="8" t="s">
        <v>9</v>
      </c>
      <c r="D19" s="9">
        <v>590000</v>
      </c>
      <c r="E19" s="14">
        <v>2</v>
      </c>
      <c r="F19" s="9">
        <f t="shared" si="0"/>
        <v>1180000</v>
      </c>
    </row>
    <row r="20" spans="1:6" ht="14.4" x14ac:dyDescent="0.3">
      <c r="A20" s="13">
        <v>43600</v>
      </c>
      <c r="B20" s="8" t="s">
        <v>8</v>
      </c>
      <c r="C20" s="8" t="s">
        <v>17</v>
      </c>
      <c r="D20" s="9">
        <v>375000</v>
      </c>
      <c r="E20" s="10">
        <v>2</v>
      </c>
      <c r="F20" s="9">
        <f t="shared" si="0"/>
        <v>750000</v>
      </c>
    </row>
    <row r="21" spans="1:6" ht="15.75" customHeight="1" x14ac:dyDescent="0.3">
      <c r="A21" s="7">
        <v>43601</v>
      </c>
      <c r="B21" s="8" t="s">
        <v>10</v>
      </c>
      <c r="C21" s="8" t="s">
        <v>16</v>
      </c>
      <c r="D21" s="9">
        <v>790000</v>
      </c>
      <c r="E21" s="10">
        <v>1</v>
      </c>
      <c r="F21" s="9">
        <f t="shared" si="0"/>
        <v>790000</v>
      </c>
    </row>
    <row r="22" spans="1:6" ht="15.75" customHeight="1" x14ac:dyDescent="0.3">
      <c r="A22" s="7">
        <v>43602</v>
      </c>
      <c r="B22" s="8" t="s">
        <v>12</v>
      </c>
      <c r="C22" s="8" t="s">
        <v>16</v>
      </c>
      <c r="D22" s="12">
        <v>790000</v>
      </c>
      <c r="E22" s="10">
        <v>1</v>
      </c>
      <c r="F22" s="12">
        <f t="shared" si="0"/>
        <v>790000</v>
      </c>
    </row>
    <row r="23" spans="1:6" ht="15.75" customHeight="1" x14ac:dyDescent="0.3">
      <c r="A23" s="7">
        <v>43603</v>
      </c>
      <c r="B23" s="8" t="s">
        <v>18</v>
      </c>
      <c r="C23" s="8" t="s">
        <v>9</v>
      </c>
      <c r="D23" s="9">
        <v>590000</v>
      </c>
      <c r="E23" s="10">
        <v>2</v>
      </c>
      <c r="F23" s="9">
        <f t="shared" si="0"/>
        <v>1180000</v>
      </c>
    </row>
    <row r="24" spans="1:6" ht="15.75" customHeight="1" x14ac:dyDescent="0.3">
      <c r="A24" s="7">
        <v>43604</v>
      </c>
      <c r="B24" s="8" t="s">
        <v>10</v>
      </c>
      <c r="C24" s="8" t="s">
        <v>17</v>
      </c>
      <c r="D24" s="12">
        <v>375000</v>
      </c>
      <c r="E24" s="10">
        <v>2</v>
      </c>
      <c r="F24" s="12">
        <f t="shared" si="0"/>
        <v>750000</v>
      </c>
    </row>
    <row r="25" spans="1:6" ht="15.75" customHeight="1" x14ac:dyDescent="0.3">
      <c r="A25" s="13">
        <v>43605</v>
      </c>
      <c r="B25" s="8" t="s">
        <v>18</v>
      </c>
      <c r="C25" s="11" t="s">
        <v>9</v>
      </c>
      <c r="D25" s="9">
        <v>590000</v>
      </c>
      <c r="E25" s="10">
        <v>1</v>
      </c>
      <c r="F25" s="9">
        <f t="shared" si="0"/>
        <v>590000</v>
      </c>
    </row>
    <row r="26" spans="1:6" ht="15.75" customHeight="1" x14ac:dyDescent="0.3">
      <c r="A26" s="7">
        <v>43606</v>
      </c>
      <c r="B26" s="11" t="s">
        <v>15</v>
      </c>
      <c r="C26" s="11" t="s">
        <v>11</v>
      </c>
      <c r="D26" s="9">
        <v>750000</v>
      </c>
      <c r="E26" s="10">
        <v>1</v>
      </c>
      <c r="F26" s="9">
        <f t="shared" si="0"/>
        <v>750000</v>
      </c>
    </row>
    <row r="27" spans="1:6" ht="15.75" customHeight="1" x14ac:dyDescent="0.3">
      <c r="A27" s="7">
        <v>43607</v>
      </c>
      <c r="B27" s="8" t="s">
        <v>12</v>
      </c>
      <c r="C27" s="8" t="s">
        <v>14</v>
      </c>
      <c r="D27" s="9">
        <v>460000</v>
      </c>
      <c r="E27" s="10">
        <v>1</v>
      </c>
      <c r="F27" s="9">
        <f t="shared" si="0"/>
        <v>460000</v>
      </c>
    </row>
    <row r="28" spans="1:6" ht="15.75" customHeight="1" x14ac:dyDescent="0.3">
      <c r="A28" s="7">
        <v>43608</v>
      </c>
      <c r="B28" s="8" t="s">
        <v>12</v>
      </c>
      <c r="C28" s="11" t="s">
        <v>14</v>
      </c>
      <c r="D28" s="12">
        <v>460000</v>
      </c>
      <c r="E28" s="10">
        <v>3</v>
      </c>
      <c r="F28" s="12">
        <f t="shared" si="0"/>
        <v>1380000</v>
      </c>
    </row>
    <row r="29" spans="1:6" ht="15.75" customHeight="1" x14ac:dyDescent="0.3">
      <c r="A29" s="7">
        <v>43609</v>
      </c>
      <c r="B29" s="8" t="s">
        <v>15</v>
      </c>
      <c r="C29" s="8" t="s">
        <v>17</v>
      </c>
      <c r="D29" s="9">
        <v>375000</v>
      </c>
      <c r="E29" s="10">
        <v>1</v>
      </c>
      <c r="F29" s="9">
        <f t="shared" si="0"/>
        <v>375000</v>
      </c>
    </row>
    <row r="30" spans="1:6" ht="15.75" customHeight="1" x14ac:dyDescent="0.3">
      <c r="A30" s="7">
        <v>43610</v>
      </c>
      <c r="B30" s="8" t="s">
        <v>8</v>
      </c>
      <c r="C30" s="8" t="s">
        <v>16</v>
      </c>
      <c r="D30" s="9">
        <v>790000</v>
      </c>
      <c r="E30" s="10">
        <v>2</v>
      </c>
      <c r="F30" s="9">
        <f t="shared" si="0"/>
        <v>1580000</v>
      </c>
    </row>
    <row r="31" spans="1:6" ht="15.75" customHeight="1" x14ac:dyDescent="0.3">
      <c r="A31" s="7">
        <v>43611</v>
      </c>
      <c r="B31" s="11" t="s">
        <v>13</v>
      </c>
      <c r="C31" s="8" t="s">
        <v>9</v>
      </c>
      <c r="D31" s="9">
        <v>590000</v>
      </c>
      <c r="E31" s="10">
        <v>1</v>
      </c>
      <c r="F31" s="9">
        <f t="shared" si="0"/>
        <v>590000</v>
      </c>
    </row>
    <row r="32" spans="1:6" ht="15.75" customHeight="1" x14ac:dyDescent="0.3">
      <c r="A32" s="7">
        <v>43612</v>
      </c>
      <c r="B32" s="8" t="s">
        <v>10</v>
      </c>
      <c r="C32" s="8" t="s">
        <v>17</v>
      </c>
      <c r="D32" s="12">
        <v>375000</v>
      </c>
      <c r="E32" s="10">
        <v>2</v>
      </c>
      <c r="F32" s="12">
        <f t="shared" si="0"/>
        <v>750000</v>
      </c>
    </row>
    <row r="33" spans="1:6" ht="15.75" customHeight="1" x14ac:dyDescent="0.3">
      <c r="A33" s="13">
        <v>43613</v>
      </c>
      <c r="B33" s="8" t="s">
        <v>8</v>
      </c>
      <c r="C33" s="8" t="s">
        <v>9</v>
      </c>
      <c r="D33" s="9">
        <v>590000</v>
      </c>
      <c r="E33" s="10">
        <v>3</v>
      </c>
      <c r="F33" s="9">
        <f t="shared" si="0"/>
        <v>1770000</v>
      </c>
    </row>
    <row r="34" spans="1:6" ht="15.75" customHeight="1" x14ac:dyDescent="0.3">
      <c r="A34" s="7">
        <v>43614</v>
      </c>
      <c r="B34" s="8" t="s">
        <v>10</v>
      </c>
      <c r="C34" s="8" t="s">
        <v>11</v>
      </c>
      <c r="D34" s="12">
        <v>750000</v>
      </c>
      <c r="E34" s="10">
        <v>1</v>
      </c>
      <c r="F34" s="12">
        <f t="shared" si="0"/>
        <v>750000</v>
      </c>
    </row>
    <row r="35" spans="1:6" ht="15.75" customHeight="1" x14ac:dyDescent="0.3">
      <c r="A35" s="7">
        <v>43615</v>
      </c>
      <c r="B35" s="8" t="s">
        <v>18</v>
      </c>
      <c r="C35" s="8" t="s">
        <v>14</v>
      </c>
      <c r="D35" s="9">
        <v>460000</v>
      </c>
      <c r="E35" s="10">
        <v>1</v>
      </c>
      <c r="F35" s="9">
        <f t="shared" si="0"/>
        <v>460000</v>
      </c>
    </row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4:C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tabSelected="1" zoomScale="82" workbookViewId="0">
      <selection activeCell="M7" sqref="M7:O8"/>
    </sheetView>
  </sheetViews>
  <sheetFormatPr defaultColWidth="14.44140625" defaultRowHeight="15" customHeight="1" x14ac:dyDescent="0.3"/>
  <cols>
    <col min="1" max="1" width="12.5546875" customWidth="1"/>
    <col min="2" max="3" width="8.77734375" customWidth="1"/>
    <col min="4" max="4" width="12" customWidth="1"/>
    <col min="5" max="5" width="6.33203125" customWidth="1"/>
    <col min="6" max="6" width="13.6640625" customWidth="1"/>
    <col min="7" max="8" width="8.77734375" customWidth="1"/>
    <col min="9" max="9" width="13.6640625" bestFit="1" customWidth="1"/>
    <col min="10" max="10" width="15.33203125" bestFit="1" customWidth="1"/>
    <col min="11" max="26" width="8.77734375" customWidth="1"/>
  </cols>
  <sheetData>
    <row r="1" spans="1:15" ht="14.4" x14ac:dyDescent="0.3">
      <c r="A1" s="1" t="s">
        <v>43</v>
      </c>
    </row>
    <row r="2" spans="1:15" ht="14.4" x14ac:dyDescent="0.3">
      <c r="A2" s="1" t="s">
        <v>44</v>
      </c>
    </row>
    <row r="4" spans="1:15" ht="14.4" x14ac:dyDescent="0.3">
      <c r="A4" s="48" t="s">
        <v>1</v>
      </c>
      <c r="B4" s="49"/>
      <c r="C4" s="50"/>
    </row>
    <row r="5" spans="1:15" ht="14.4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15" ht="14.4" x14ac:dyDescent="0.3">
      <c r="A6" s="7">
        <v>43586</v>
      </c>
      <c r="B6" s="8" t="s">
        <v>8</v>
      </c>
      <c r="C6" s="8" t="s">
        <v>9</v>
      </c>
      <c r="D6" s="9">
        <v>590000</v>
      </c>
      <c r="E6" s="10">
        <v>1</v>
      </c>
      <c r="F6" s="9">
        <f t="shared" ref="F6:F35" si="0">D6*E6</f>
        <v>590000</v>
      </c>
      <c r="I6" s="42" t="s">
        <v>25</v>
      </c>
      <c r="J6" s="44" t="s">
        <v>52</v>
      </c>
    </row>
    <row r="7" spans="1:15" ht="14.4" x14ac:dyDescent="0.3">
      <c r="A7" s="7">
        <v>43587</v>
      </c>
      <c r="B7" s="8" t="s">
        <v>10</v>
      </c>
      <c r="C7" s="8" t="s">
        <v>11</v>
      </c>
      <c r="D7" s="9">
        <v>750000</v>
      </c>
      <c r="E7" s="10">
        <v>2</v>
      </c>
      <c r="F7" s="9">
        <f t="shared" si="0"/>
        <v>1500000</v>
      </c>
      <c r="I7" s="46" t="s">
        <v>8</v>
      </c>
      <c r="J7" s="44">
        <v>6940000</v>
      </c>
      <c r="M7" s="56" t="s">
        <v>53</v>
      </c>
      <c r="N7" s="56"/>
      <c r="O7" s="56"/>
    </row>
    <row r="8" spans="1:15" ht="14.4" x14ac:dyDescent="0.3">
      <c r="A8" s="7">
        <v>43588</v>
      </c>
      <c r="B8" s="8" t="s">
        <v>12</v>
      </c>
      <c r="C8" s="8" t="s">
        <v>9</v>
      </c>
      <c r="D8" s="9">
        <v>590000</v>
      </c>
      <c r="E8" s="10">
        <v>1</v>
      </c>
      <c r="F8" s="9">
        <f t="shared" si="0"/>
        <v>590000</v>
      </c>
      <c r="I8" s="43" t="s">
        <v>10</v>
      </c>
      <c r="J8" s="44">
        <v>6770000</v>
      </c>
      <c r="M8" s="56"/>
      <c r="N8" s="56"/>
      <c r="O8" s="56"/>
    </row>
    <row r="9" spans="1:15" ht="14.4" x14ac:dyDescent="0.3">
      <c r="A9" s="7">
        <v>43589</v>
      </c>
      <c r="B9" s="8" t="s">
        <v>13</v>
      </c>
      <c r="C9" s="8" t="s">
        <v>14</v>
      </c>
      <c r="D9" s="9">
        <v>460000</v>
      </c>
      <c r="E9" s="10">
        <v>1</v>
      </c>
      <c r="F9" s="9">
        <f t="shared" si="0"/>
        <v>460000</v>
      </c>
      <c r="I9" s="43" t="s">
        <v>15</v>
      </c>
      <c r="J9" s="44">
        <v>5425000</v>
      </c>
    </row>
    <row r="10" spans="1:15" ht="14.4" x14ac:dyDescent="0.3">
      <c r="A10" s="7">
        <v>43590</v>
      </c>
      <c r="B10" s="8" t="s">
        <v>15</v>
      </c>
      <c r="C10" s="11" t="s">
        <v>16</v>
      </c>
      <c r="D10" s="12">
        <v>790000</v>
      </c>
      <c r="E10" s="10">
        <v>3</v>
      </c>
      <c r="F10" s="12">
        <f t="shared" si="0"/>
        <v>2370000</v>
      </c>
      <c r="I10" s="43" t="s">
        <v>12</v>
      </c>
      <c r="J10" s="44">
        <v>4720000</v>
      </c>
    </row>
    <row r="11" spans="1:15" ht="14.4" x14ac:dyDescent="0.3">
      <c r="A11" s="7">
        <v>43591</v>
      </c>
      <c r="B11" s="8" t="s">
        <v>8</v>
      </c>
      <c r="C11" s="8" t="s">
        <v>17</v>
      </c>
      <c r="D11" s="9">
        <v>375000</v>
      </c>
      <c r="E11" s="10">
        <v>2</v>
      </c>
      <c r="F11" s="9">
        <f t="shared" si="0"/>
        <v>750000</v>
      </c>
      <c r="I11" s="43" t="s">
        <v>13</v>
      </c>
      <c r="J11" s="44">
        <v>3280000</v>
      </c>
    </row>
    <row r="12" spans="1:15" ht="14.4" x14ac:dyDescent="0.3">
      <c r="A12" s="7">
        <v>43592</v>
      </c>
      <c r="B12" s="8" t="s">
        <v>10</v>
      </c>
      <c r="C12" s="8" t="s">
        <v>9</v>
      </c>
      <c r="D12" s="12">
        <v>590000</v>
      </c>
      <c r="E12" s="10">
        <v>3</v>
      </c>
      <c r="F12" s="12">
        <f t="shared" si="0"/>
        <v>1770000</v>
      </c>
      <c r="I12" s="43" t="s">
        <v>18</v>
      </c>
      <c r="J12" s="44">
        <v>2230000</v>
      </c>
    </row>
    <row r="13" spans="1:15" ht="14.4" x14ac:dyDescent="0.3">
      <c r="A13" s="7">
        <v>43593</v>
      </c>
      <c r="B13" s="8" t="s">
        <v>8</v>
      </c>
      <c r="C13" s="8" t="s">
        <v>11</v>
      </c>
      <c r="D13" s="9">
        <v>750000</v>
      </c>
      <c r="E13" s="10">
        <v>2</v>
      </c>
      <c r="F13" s="9">
        <f t="shared" si="0"/>
        <v>1500000</v>
      </c>
      <c r="I13" s="43" t="s">
        <v>51</v>
      </c>
      <c r="J13" s="44">
        <v>29365000</v>
      </c>
    </row>
    <row r="14" spans="1:15" ht="14.4" x14ac:dyDescent="0.3">
      <c r="A14" s="13">
        <v>43594</v>
      </c>
      <c r="B14" s="11" t="s">
        <v>13</v>
      </c>
      <c r="C14" s="8" t="s">
        <v>9</v>
      </c>
      <c r="D14" s="12">
        <v>590000</v>
      </c>
      <c r="E14" s="10">
        <v>3</v>
      </c>
      <c r="F14" s="12">
        <f t="shared" si="0"/>
        <v>1770000</v>
      </c>
    </row>
    <row r="15" spans="1:15" ht="14.4" x14ac:dyDescent="0.3">
      <c r="A15" s="7">
        <v>43595</v>
      </c>
      <c r="B15" s="8" t="s">
        <v>12</v>
      </c>
      <c r="C15" s="8" t="s">
        <v>11</v>
      </c>
      <c r="D15" s="9">
        <v>750000</v>
      </c>
      <c r="E15" s="10">
        <v>2</v>
      </c>
      <c r="F15" s="9">
        <f t="shared" si="0"/>
        <v>1500000</v>
      </c>
    </row>
    <row r="16" spans="1:15" ht="14.4" x14ac:dyDescent="0.3">
      <c r="A16" s="7">
        <v>43596</v>
      </c>
      <c r="B16" s="8" t="s">
        <v>10</v>
      </c>
      <c r="C16" s="11" t="s">
        <v>14</v>
      </c>
      <c r="D16" s="9">
        <v>460000</v>
      </c>
      <c r="E16" s="10">
        <v>1</v>
      </c>
      <c r="F16" s="9">
        <f t="shared" si="0"/>
        <v>460000</v>
      </c>
    </row>
    <row r="17" spans="1:6" ht="14.4" x14ac:dyDescent="0.3">
      <c r="A17" s="7">
        <v>43597</v>
      </c>
      <c r="B17" s="11" t="s">
        <v>13</v>
      </c>
      <c r="C17" s="8" t="s">
        <v>14</v>
      </c>
      <c r="D17" s="9">
        <v>460000</v>
      </c>
      <c r="E17" s="14">
        <v>1</v>
      </c>
      <c r="F17" s="9">
        <f t="shared" si="0"/>
        <v>460000</v>
      </c>
    </row>
    <row r="18" spans="1:6" ht="14.4" x14ac:dyDescent="0.3">
      <c r="A18" s="7">
        <v>43598</v>
      </c>
      <c r="B18" s="8" t="s">
        <v>15</v>
      </c>
      <c r="C18" s="11" t="s">
        <v>11</v>
      </c>
      <c r="D18" s="12">
        <v>750000</v>
      </c>
      <c r="E18" s="10">
        <v>1</v>
      </c>
      <c r="F18" s="12">
        <f t="shared" si="0"/>
        <v>750000</v>
      </c>
    </row>
    <row r="19" spans="1:6" ht="14.4" x14ac:dyDescent="0.3">
      <c r="A19" s="7">
        <v>43599</v>
      </c>
      <c r="B19" s="11" t="s">
        <v>15</v>
      </c>
      <c r="C19" s="8" t="s">
        <v>9</v>
      </c>
      <c r="D19" s="9">
        <v>590000</v>
      </c>
      <c r="E19" s="14">
        <v>2</v>
      </c>
      <c r="F19" s="9">
        <f t="shared" si="0"/>
        <v>1180000</v>
      </c>
    </row>
    <row r="20" spans="1:6" ht="14.4" x14ac:dyDescent="0.3">
      <c r="A20" s="13">
        <v>43600</v>
      </c>
      <c r="B20" s="8" t="s">
        <v>8</v>
      </c>
      <c r="C20" s="8" t="s">
        <v>17</v>
      </c>
      <c r="D20" s="9">
        <v>375000</v>
      </c>
      <c r="E20" s="10">
        <v>2</v>
      </c>
      <c r="F20" s="9">
        <f t="shared" si="0"/>
        <v>750000</v>
      </c>
    </row>
    <row r="21" spans="1:6" ht="15.75" customHeight="1" x14ac:dyDescent="0.3">
      <c r="A21" s="7">
        <v>43601</v>
      </c>
      <c r="B21" s="8" t="s">
        <v>10</v>
      </c>
      <c r="C21" s="8" t="s">
        <v>16</v>
      </c>
      <c r="D21" s="9">
        <v>790000</v>
      </c>
      <c r="E21" s="10">
        <v>1</v>
      </c>
      <c r="F21" s="9">
        <f t="shared" si="0"/>
        <v>790000</v>
      </c>
    </row>
    <row r="22" spans="1:6" ht="15.75" customHeight="1" x14ac:dyDescent="0.3">
      <c r="A22" s="7">
        <v>43602</v>
      </c>
      <c r="B22" s="8" t="s">
        <v>12</v>
      </c>
      <c r="C22" s="8" t="s">
        <v>16</v>
      </c>
      <c r="D22" s="12">
        <v>790000</v>
      </c>
      <c r="E22" s="10">
        <v>1</v>
      </c>
      <c r="F22" s="12">
        <f t="shared" si="0"/>
        <v>790000</v>
      </c>
    </row>
    <row r="23" spans="1:6" ht="15.75" customHeight="1" x14ac:dyDescent="0.3">
      <c r="A23" s="7">
        <v>43603</v>
      </c>
      <c r="B23" s="8" t="s">
        <v>18</v>
      </c>
      <c r="C23" s="8" t="s">
        <v>9</v>
      </c>
      <c r="D23" s="9">
        <v>590000</v>
      </c>
      <c r="E23" s="10">
        <v>2</v>
      </c>
      <c r="F23" s="9">
        <f t="shared" si="0"/>
        <v>1180000</v>
      </c>
    </row>
    <row r="24" spans="1:6" ht="15.75" customHeight="1" x14ac:dyDescent="0.3">
      <c r="A24" s="7">
        <v>43604</v>
      </c>
      <c r="B24" s="8" t="s">
        <v>10</v>
      </c>
      <c r="C24" s="8" t="s">
        <v>17</v>
      </c>
      <c r="D24" s="12">
        <v>375000</v>
      </c>
      <c r="E24" s="10">
        <v>2</v>
      </c>
      <c r="F24" s="12">
        <f t="shared" si="0"/>
        <v>750000</v>
      </c>
    </row>
    <row r="25" spans="1:6" ht="15.75" customHeight="1" x14ac:dyDescent="0.3">
      <c r="A25" s="13">
        <v>43605</v>
      </c>
      <c r="B25" s="8" t="s">
        <v>18</v>
      </c>
      <c r="C25" s="11" t="s">
        <v>9</v>
      </c>
      <c r="D25" s="9">
        <v>590000</v>
      </c>
      <c r="E25" s="10">
        <v>1</v>
      </c>
      <c r="F25" s="9">
        <f t="shared" si="0"/>
        <v>590000</v>
      </c>
    </row>
    <row r="26" spans="1:6" ht="15.75" customHeight="1" x14ac:dyDescent="0.3">
      <c r="A26" s="7">
        <v>43606</v>
      </c>
      <c r="B26" s="11" t="s">
        <v>15</v>
      </c>
      <c r="C26" s="11" t="s">
        <v>11</v>
      </c>
      <c r="D26" s="9">
        <v>750000</v>
      </c>
      <c r="E26" s="10">
        <v>1</v>
      </c>
      <c r="F26" s="9">
        <f t="shared" si="0"/>
        <v>750000</v>
      </c>
    </row>
    <row r="27" spans="1:6" ht="15.75" customHeight="1" x14ac:dyDescent="0.3">
      <c r="A27" s="7">
        <v>43607</v>
      </c>
      <c r="B27" s="8" t="s">
        <v>12</v>
      </c>
      <c r="C27" s="8" t="s">
        <v>14</v>
      </c>
      <c r="D27" s="9">
        <v>460000</v>
      </c>
      <c r="E27" s="10">
        <v>1</v>
      </c>
      <c r="F27" s="9">
        <f t="shared" si="0"/>
        <v>460000</v>
      </c>
    </row>
    <row r="28" spans="1:6" ht="15.75" customHeight="1" x14ac:dyDescent="0.3">
      <c r="A28" s="7">
        <v>43608</v>
      </c>
      <c r="B28" s="8" t="s">
        <v>12</v>
      </c>
      <c r="C28" s="11" t="s">
        <v>14</v>
      </c>
      <c r="D28" s="12">
        <v>460000</v>
      </c>
      <c r="E28" s="10">
        <v>3</v>
      </c>
      <c r="F28" s="12">
        <f t="shared" si="0"/>
        <v>1380000</v>
      </c>
    </row>
    <row r="29" spans="1:6" ht="15.75" customHeight="1" x14ac:dyDescent="0.3">
      <c r="A29" s="7">
        <v>43609</v>
      </c>
      <c r="B29" s="8" t="s">
        <v>15</v>
      </c>
      <c r="C29" s="8" t="s">
        <v>17</v>
      </c>
      <c r="D29" s="9">
        <v>375000</v>
      </c>
      <c r="E29" s="10">
        <v>1</v>
      </c>
      <c r="F29" s="9">
        <f t="shared" si="0"/>
        <v>375000</v>
      </c>
    </row>
    <row r="30" spans="1:6" ht="15.75" customHeight="1" x14ac:dyDescent="0.3">
      <c r="A30" s="7">
        <v>43610</v>
      </c>
      <c r="B30" s="8" t="s">
        <v>8</v>
      </c>
      <c r="C30" s="8" t="s">
        <v>16</v>
      </c>
      <c r="D30" s="9">
        <v>790000</v>
      </c>
      <c r="E30" s="10">
        <v>2</v>
      </c>
      <c r="F30" s="9">
        <f t="shared" si="0"/>
        <v>1580000</v>
      </c>
    </row>
    <row r="31" spans="1:6" ht="15.75" customHeight="1" x14ac:dyDescent="0.3">
      <c r="A31" s="7">
        <v>43611</v>
      </c>
      <c r="B31" s="11" t="s">
        <v>13</v>
      </c>
      <c r="C31" s="8" t="s">
        <v>9</v>
      </c>
      <c r="D31" s="9">
        <v>590000</v>
      </c>
      <c r="E31" s="10">
        <v>1</v>
      </c>
      <c r="F31" s="9">
        <f t="shared" si="0"/>
        <v>590000</v>
      </c>
    </row>
    <row r="32" spans="1:6" ht="15.75" customHeight="1" x14ac:dyDescent="0.3">
      <c r="A32" s="7">
        <v>43612</v>
      </c>
      <c r="B32" s="8" t="s">
        <v>10</v>
      </c>
      <c r="C32" s="8" t="s">
        <v>17</v>
      </c>
      <c r="D32" s="12">
        <v>375000</v>
      </c>
      <c r="E32" s="10">
        <v>2</v>
      </c>
      <c r="F32" s="12">
        <f t="shared" si="0"/>
        <v>750000</v>
      </c>
    </row>
    <row r="33" spans="1:6" ht="15.75" customHeight="1" x14ac:dyDescent="0.3">
      <c r="A33" s="13">
        <v>43613</v>
      </c>
      <c r="B33" s="8" t="s">
        <v>8</v>
      </c>
      <c r="C33" s="8" t="s">
        <v>9</v>
      </c>
      <c r="D33" s="9">
        <v>590000</v>
      </c>
      <c r="E33" s="10">
        <v>3</v>
      </c>
      <c r="F33" s="9">
        <f t="shared" si="0"/>
        <v>1770000</v>
      </c>
    </row>
    <row r="34" spans="1:6" ht="15.75" customHeight="1" x14ac:dyDescent="0.3">
      <c r="A34" s="7">
        <v>43614</v>
      </c>
      <c r="B34" s="8" t="s">
        <v>10</v>
      </c>
      <c r="C34" s="8" t="s">
        <v>11</v>
      </c>
      <c r="D34" s="12">
        <v>750000</v>
      </c>
      <c r="E34" s="10">
        <v>1</v>
      </c>
      <c r="F34" s="12">
        <f t="shared" si="0"/>
        <v>750000</v>
      </c>
    </row>
    <row r="35" spans="1:6" ht="15.75" customHeight="1" x14ac:dyDescent="0.3">
      <c r="A35" s="7">
        <v>43615</v>
      </c>
      <c r="B35" s="8" t="s">
        <v>18</v>
      </c>
      <c r="C35" s="8" t="s">
        <v>14</v>
      </c>
      <c r="D35" s="9">
        <v>460000</v>
      </c>
      <c r="E35" s="10">
        <v>1</v>
      </c>
      <c r="F35" s="9">
        <f t="shared" si="0"/>
        <v>460000</v>
      </c>
    </row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spans="1:1" ht="15.75" customHeight="1" x14ac:dyDescent="0.3"/>
    <row r="50" spans="1:1" ht="15.75" customHeight="1" x14ac:dyDescent="0.3"/>
    <row r="51" spans="1:1" ht="15.75" customHeight="1" x14ac:dyDescent="0.3"/>
    <row r="52" spans="1:1" ht="15.75" customHeight="1" x14ac:dyDescent="0.3"/>
    <row r="53" spans="1:1" ht="15.75" customHeight="1" x14ac:dyDescent="0.3"/>
    <row r="54" spans="1:1" ht="15.75" customHeight="1" x14ac:dyDescent="0.3"/>
    <row r="55" spans="1:1" ht="15.75" customHeight="1" x14ac:dyDescent="0.3"/>
    <row r="56" spans="1:1" ht="15.75" customHeight="1" x14ac:dyDescent="0.3">
      <c r="A56" s="3" t="s">
        <v>45</v>
      </c>
    </row>
    <row r="57" spans="1:1" ht="15.75" customHeight="1" x14ac:dyDescent="0.3"/>
    <row r="58" spans="1:1" ht="15.75" customHeight="1" x14ac:dyDescent="0.3"/>
    <row r="59" spans="1:1" ht="15.75" customHeight="1" x14ac:dyDescent="0.3"/>
    <row r="60" spans="1:1" ht="15.75" customHeight="1" x14ac:dyDescent="0.3"/>
    <row r="61" spans="1:1" ht="15.75" customHeight="1" x14ac:dyDescent="0.3"/>
    <row r="62" spans="1:1" ht="15.75" customHeight="1" x14ac:dyDescent="0.3"/>
    <row r="63" spans="1:1" ht="15.75" customHeight="1" x14ac:dyDescent="0.3"/>
    <row r="64" spans="1: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4:C4"/>
    <mergeCell ref="M7:O8"/>
  </mergeCell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H11" sqref="H11"/>
    </sheetView>
  </sheetViews>
  <sheetFormatPr defaultColWidth="14.44140625" defaultRowHeight="15" customHeight="1" x14ac:dyDescent="0.3"/>
  <cols>
    <col min="1" max="1" width="11" customWidth="1"/>
    <col min="2" max="2" width="8.77734375" customWidth="1"/>
    <col min="3" max="3" width="12.21875" customWidth="1"/>
    <col min="4" max="4" width="11.44140625" customWidth="1"/>
    <col min="5" max="5" width="8.77734375" customWidth="1"/>
    <col min="6" max="6" width="13.21875" customWidth="1"/>
    <col min="7" max="9" width="8.77734375" customWidth="1"/>
    <col min="10" max="10" width="11.6640625" customWidth="1"/>
    <col min="11" max="11" width="13.5546875" customWidth="1"/>
    <col min="12" max="26" width="8.77734375" customWidth="1"/>
  </cols>
  <sheetData>
    <row r="1" spans="1:11" ht="14.4" x14ac:dyDescent="0.3">
      <c r="A1" s="1" t="s">
        <v>46</v>
      </c>
    </row>
    <row r="3" spans="1:11" ht="14.4" x14ac:dyDescent="0.3">
      <c r="J3" s="21" t="s">
        <v>4</v>
      </c>
      <c r="K3" s="21" t="s">
        <v>47</v>
      </c>
    </row>
    <row r="4" spans="1:11" ht="14.4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J4" s="15" t="s">
        <v>9</v>
      </c>
      <c r="K4" s="15">
        <v>590000</v>
      </c>
    </row>
    <row r="5" spans="1:11" ht="14.4" x14ac:dyDescent="0.3">
      <c r="A5" s="7">
        <v>43586</v>
      </c>
      <c r="B5" s="8" t="s">
        <v>8</v>
      </c>
      <c r="C5" s="8" t="s">
        <v>9</v>
      </c>
      <c r="D5" s="22">
        <f>_xlfn.XLOOKUP(C5,$J$4:$J$9,$K$4:$K$9)</f>
        <v>590000</v>
      </c>
      <c r="E5" s="10">
        <v>1</v>
      </c>
      <c r="F5" s="22">
        <f>E5*D5</f>
        <v>590000</v>
      </c>
      <c r="J5" s="15" t="s">
        <v>11</v>
      </c>
      <c r="K5" s="15">
        <v>750000</v>
      </c>
    </row>
    <row r="6" spans="1:11" ht="14.4" x14ac:dyDescent="0.3">
      <c r="A6" s="7">
        <v>43587</v>
      </c>
      <c r="B6" s="8" t="s">
        <v>10</v>
      </c>
      <c r="C6" s="8" t="s">
        <v>11</v>
      </c>
      <c r="D6" s="22">
        <f t="shared" ref="D6:D34" si="0">_xlfn.XLOOKUP(C6,$J$4:$J$9,$K$4:$K$9)</f>
        <v>750000</v>
      </c>
      <c r="E6" s="10">
        <v>2</v>
      </c>
      <c r="F6" s="22">
        <f t="shared" ref="F6:F34" si="1">E6*D6</f>
        <v>1500000</v>
      </c>
      <c r="J6" s="15" t="s">
        <v>14</v>
      </c>
      <c r="K6" s="15">
        <v>460000</v>
      </c>
    </row>
    <row r="7" spans="1:11" ht="14.4" x14ac:dyDescent="0.3">
      <c r="A7" s="7">
        <v>43588</v>
      </c>
      <c r="B7" s="8" t="s">
        <v>12</v>
      </c>
      <c r="C7" s="8" t="s">
        <v>9</v>
      </c>
      <c r="D7" s="22">
        <f t="shared" si="0"/>
        <v>590000</v>
      </c>
      <c r="E7" s="10">
        <v>1</v>
      </c>
      <c r="F7" s="22">
        <f t="shared" si="1"/>
        <v>590000</v>
      </c>
      <c r="J7" s="15" t="s">
        <v>16</v>
      </c>
      <c r="K7" s="15">
        <v>790000</v>
      </c>
    </row>
    <row r="8" spans="1:11" ht="14.4" x14ac:dyDescent="0.3">
      <c r="A8" s="7">
        <v>43589</v>
      </c>
      <c r="B8" s="8" t="s">
        <v>13</v>
      </c>
      <c r="C8" s="8" t="s">
        <v>14</v>
      </c>
      <c r="D8" s="22">
        <f t="shared" si="0"/>
        <v>460000</v>
      </c>
      <c r="E8" s="10">
        <v>1</v>
      </c>
      <c r="F8" s="22">
        <f t="shared" si="1"/>
        <v>460000</v>
      </c>
      <c r="J8" s="15" t="s">
        <v>17</v>
      </c>
      <c r="K8" s="15">
        <v>375000</v>
      </c>
    </row>
    <row r="9" spans="1:11" ht="14.4" x14ac:dyDescent="0.3">
      <c r="A9" s="7">
        <v>43590</v>
      </c>
      <c r="B9" s="8" t="s">
        <v>15</v>
      </c>
      <c r="C9" s="11" t="s">
        <v>16</v>
      </c>
      <c r="D9" s="22">
        <f t="shared" si="0"/>
        <v>790000</v>
      </c>
      <c r="E9" s="10">
        <v>3</v>
      </c>
      <c r="F9" s="22">
        <f t="shared" si="1"/>
        <v>2370000</v>
      </c>
      <c r="J9" s="15" t="s">
        <v>48</v>
      </c>
      <c r="K9" s="15">
        <v>348000</v>
      </c>
    </row>
    <row r="10" spans="1:11" ht="14.4" x14ac:dyDescent="0.3">
      <c r="A10" s="7">
        <v>43591</v>
      </c>
      <c r="B10" s="8" t="s">
        <v>8</v>
      </c>
      <c r="C10" s="8" t="s">
        <v>17</v>
      </c>
      <c r="D10" s="22">
        <f t="shared" si="0"/>
        <v>375000</v>
      </c>
      <c r="E10" s="10">
        <v>2</v>
      </c>
      <c r="F10" s="22">
        <f t="shared" si="1"/>
        <v>750000</v>
      </c>
    </row>
    <row r="11" spans="1:11" ht="14.4" x14ac:dyDescent="0.3">
      <c r="A11" s="7">
        <v>43592</v>
      </c>
      <c r="B11" s="8" t="s">
        <v>10</v>
      </c>
      <c r="C11" s="8" t="s">
        <v>9</v>
      </c>
      <c r="D11" s="22">
        <f t="shared" si="0"/>
        <v>590000</v>
      </c>
      <c r="E11" s="10">
        <v>3</v>
      </c>
      <c r="F11" s="22">
        <f t="shared" si="1"/>
        <v>1770000</v>
      </c>
    </row>
    <row r="12" spans="1:11" ht="14.4" x14ac:dyDescent="0.3">
      <c r="A12" s="7">
        <v>43593</v>
      </c>
      <c r="B12" s="8" t="s">
        <v>8</v>
      </c>
      <c r="C12" s="8" t="s">
        <v>11</v>
      </c>
      <c r="D12" s="22">
        <f t="shared" si="0"/>
        <v>750000</v>
      </c>
      <c r="E12" s="10">
        <v>2</v>
      </c>
      <c r="F12" s="22">
        <f t="shared" si="1"/>
        <v>1500000</v>
      </c>
    </row>
    <row r="13" spans="1:11" ht="14.4" x14ac:dyDescent="0.3">
      <c r="A13" s="13">
        <v>43594</v>
      </c>
      <c r="B13" s="11" t="s">
        <v>13</v>
      </c>
      <c r="C13" s="8" t="s">
        <v>9</v>
      </c>
      <c r="D13" s="22">
        <f t="shared" si="0"/>
        <v>590000</v>
      </c>
      <c r="E13" s="10">
        <v>3</v>
      </c>
      <c r="F13" s="22">
        <f t="shared" si="1"/>
        <v>1770000</v>
      </c>
    </row>
    <row r="14" spans="1:11" ht="14.4" x14ac:dyDescent="0.3">
      <c r="A14" s="7">
        <v>43595</v>
      </c>
      <c r="B14" s="8" t="s">
        <v>12</v>
      </c>
      <c r="C14" s="8" t="s">
        <v>11</v>
      </c>
      <c r="D14" s="22">
        <f t="shared" si="0"/>
        <v>750000</v>
      </c>
      <c r="E14" s="10">
        <v>2</v>
      </c>
      <c r="F14" s="22">
        <f t="shared" si="1"/>
        <v>1500000</v>
      </c>
    </row>
    <row r="15" spans="1:11" ht="14.4" x14ac:dyDescent="0.3">
      <c r="A15" s="7">
        <v>43596</v>
      </c>
      <c r="B15" s="8" t="s">
        <v>10</v>
      </c>
      <c r="C15" s="11" t="s">
        <v>14</v>
      </c>
      <c r="D15" s="22">
        <f t="shared" si="0"/>
        <v>460000</v>
      </c>
      <c r="E15" s="10">
        <v>1</v>
      </c>
      <c r="F15" s="22">
        <f t="shared" si="1"/>
        <v>460000</v>
      </c>
    </row>
    <row r="16" spans="1:11" ht="14.4" x14ac:dyDescent="0.3">
      <c r="A16" s="7">
        <v>43597</v>
      </c>
      <c r="B16" s="11" t="s">
        <v>13</v>
      </c>
      <c r="C16" s="8" t="s">
        <v>14</v>
      </c>
      <c r="D16" s="22">
        <f t="shared" si="0"/>
        <v>460000</v>
      </c>
      <c r="E16" s="14">
        <v>1</v>
      </c>
      <c r="F16" s="22">
        <f t="shared" si="1"/>
        <v>460000</v>
      </c>
    </row>
    <row r="17" spans="1:6" ht="14.4" x14ac:dyDescent="0.3">
      <c r="A17" s="7">
        <v>43598</v>
      </c>
      <c r="B17" s="8" t="s">
        <v>15</v>
      </c>
      <c r="C17" s="11" t="s">
        <v>11</v>
      </c>
      <c r="D17" s="22">
        <f t="shared" si="0"/>
        <v>750000</v>
      </c>
      <c r="E17" s="10">
        <v>1</v>
      </c>
      <c r="F17" s="22">
        <f t="shared" si="1"/>
        <v>750000</v>
      </c>
    </row>
    <row r="18" spans="1:6" ht="14.4" x14ac:dyDescent="0.3">
      <c r="A18" s="7">
        <v>43599</v>
      </c>
      <c r="B18" s="11" t="s">
        <v>15</v>
      </c>
      <c r="C18" s="8" t="s">
        <v>9</v>
      </c>
      <c r="D18" s="22">
        <f t="shared" si="0"/>
        <v>590000</v>
      </c>
      <c r="E18" s="14">
        <v>2</v>
      </c>
      <c r="F18" s="22">
        <f t="shared" si="1"/>
        <v>1180000</v>
      </c>
    </row>
    <row r="19" spans="1:6" ht="14.4" x14ac:dyDescent="0.3">
      <c r="A19" s="13">
        <v>43600</v>
      </c>
      <c r="B19" s="8" t="s">
        <v>8</v>
      </c>
      <c r="C19" s="8" t="s">
        <v>17</v>
      </c>
      <c r="D19" s="22">
        <f t="shared" si="0"/>
        <v>375000</v>
      </c>
      <c r="E19" s="10">
        <v>2</v>
      </c>
      <c r="F19" s="22">
        <f t="shared" si="1"/>
        <v>750000</v>
      </c>
    </row>
    <row r="20" spans="1:6" ht="14.4" x14ac:dyDescent="0.3">
      <c r="A20" s="7">
        <v>43601</v>
      </c>
      <c r="B20" s="8" t="s">
        <v>10</v>
      </c>
      <c r="C20" s="8" t="s">
        <v>16</v>
      </c>
      <c r="D20" s="22">
        <f t="shared" si="0"/>
        <v>790000</v>
      </c>
      <c r="E20" s="10">
        <v>1</v>
      </c>
      <c r="F20" s="22">
        <f t="shared" si="1"/>
        <v>790000</v>
      </c>
    </row>
    <row r="21" spans="1:6" ht="15.75" customHeight="1" x14ac:dyDescent="0.3">
      <c r="A21" s="7">
        <v>43602</v>
      </c>
      <c r="B21" s="8" t="s">
        <v>12</v>
      </c>
      <c r="C21" s="8" t="s">
        <v>16</v>
      </c>
      <c r="D21" s="22">
        <f t="shared" si="0"/>
        <v>790000</v>
      </c>
      <c r="E21" s="10">
        <v>1</v>
      </c>
      <c r="F21" s="22">
        <f t="shared" si="1"/>
        <v>790000</v>
      </c>
    </row>
    <row r="22" spans="1:6" ht="15.75" customHeight="1" x14ac:dyDescent="0.3">
      <c r="A22" s="7">
        <v>43603</v>
      </c>
      <c r="B22" s="8" t="s">
        <v>18</v>
      </c>
      <c r="C22" s="8" t="s">
        <v>9</v>
      </c>
      <c r="D22" s="22">
        <f t="shared" si="0"/>
        <v>590000</v>
      </c>
      <c r="E22" s="10">
        <v>2</v>
      </c>
      <c r="F22" s="22">
        <f t="shared" si="1"/>
        <v>1180000</v>
      </c>
    </row>
    <row r="23" spans="1:6" ht="15.75" customHeight="1" x14ac:dyDescent="0.3">
      <c r="A23" s="7">
        <v>43604</v>
      </c>
      <c r="B23" s="8" t="s">
        <v>10</v>
      </c>
      <c r="C23" s="8" t="s">
        <v>17</v>
      </c>
      <c r="D23" s="22">
        <f t="shared" si="0"/>
        <v>375000</v>
      </c>
      <c r="E23" s="10">
        <v>2</v>
      </c>
      <c r="F23" s="22">
        <f t="shared" si="1"/>
        <v>750000</v>
      </c>
    </row>
    <row r="24" spans="1:6" ht="15.75" customHeight="1" x14ac:dyDescent="0.3">
      <c r="A24" s="13">
        <v>43605</v>
      </c>
      <c r="B24" s="8" t="s">
        <v>18</v>
      </c>
      <c r="C24" s="11" t="s">
        <v>9</v>
      </c>
      <c r="D24" s="22">
        <f t="shared" si="0"/>
        <v>590000</v>
      </c>
      <c r="E24" s="10">
        <v>1</v>
      </c>
      <c r="F24" s="22">
        <f t="shared" si="1"/>
        <v>590000</v>
      </c>
    </row>
    <row r="25" spans="1:6" ht="15.75" customHeight="1" x14ac:dyDescent="0.3">
      <c r="A25" s="7">
        <v>43606</v>
      </c>
      <c r="B25" s="11" t="s">
        <v>15</v>
      </c>
      <c r="C25" s="11" t="s">
        <v>11</v>
      </c>
      <c r="D25" s="22">
        <f t="shared" si="0"/>
        <v>750000</v>
      </c>
      <c r="E25" s="10">
        <v>1</v>
      </c>
      <c r="F25" s="22">
        <f t="shared" si="1"/>
        <v>750000</v>
      </c>
    </row>
    <row r="26" spans="1:6" ht="15.75" customHeight="1" x14ac:dyDescent="0.3">
      <c r="A26" s="7">
        <v>43607</v>
      </c>
      <c r="B26" s="8" t="s">
        <v>12</v>
      </c>
      <c r="C26" s="8" t="s">
        <v>14</v>
      </c>
      <c r="D26" s="22">
        <f t="shared" si="0"/>
        <v>460000</v>
      </c>
      <c r="E26" s="10">
        <v>1</v>
      </c>
      <c r="F26" s="22">
        <f t="shared" si="1"/>
        <v>460000</v>
      </c>
    </row>
    <row r="27" spans="1:6" ht="15.75" customHeight="1" x14ac:dyDescent="0.3">
      <c r="A27" s="7">
        <v>43608</v>
      </c>
      <c r="B27" s="8" t="s">
        <v>12</v>
      </c>
      <c r="C27" s="11" t="s">
        <v>14</v>
      </c>
      <c r="D27" s="22">
        <f t="shared" si="0"/>
        <v>460000</v>
      </c>
      <c r="E27" s="10">
        <v>3</v>
      </c>
      <c r="F27" s="22">
        <f t="shared" si="1"/>
        <v>1380000</v>
      </c>
    </row>
    <row r="28" spans="1:6" ht="15.75" customHeight="1" x14ac:dyDescent="0.3">
      <c r="A28" s="7">
        <v>43609</v>
      </c>
      <c r="B28" s="8" t="s">
        <v>15</v>
      </c>
      <c r="C28" s="8" t="s">
        <v>17</v>
      </c>
      <c r="D28" s="22">
        <f t="shared" si="0"/>
        <v>375000</v>
      </c>
      <c r="E28" s="10">
        <v>1</v>
      </c>
      <c r="F28" s="22">
        <f t="shared" si="1"/>
        <v>375000</v>
      </c>
    </row>
    <row r="29" spans="1:6" ht="15.75" customHeight="1" x14ac:dyDescent="0.3">
      <c r="A29" s="7">
        <v>43610</v>
      </c>
      <c r="B29" s="8" t="s">
        <v>8</v>
      </c>
      <c r="C29" s="8" t="s">
        <v>16</v>
      </c>
      <c r="D29" s="22">
        <f t="shared" si="0"/>
        <v>790000</v>
      </c>
      <c r="E29" s="10">
        <v>2</v>
      </c>
      <c r="F29" s="22">
        <f t="shared" si="1"/>
        <v>1580000</v>
      </c>
    </row>
    <row r="30" spans="1:6" ht="15.75" customHeight="1" x14ac:dyDescent="0.3">
      <c r="A30" s="7">
        <v>43611</v>
      </c>
      <c r="B30" s="11" t="s">
        <v>13</v>
      </c>
      <c r="C30" s="8" t="s">
        <v>9</v>
      </c>
      <c r="D30" s="22">
        <f t="shared" si="0"/>
        <v>590000</v>
      </c>
      <c r="E30" s="10">
        <v>1</v>
      </c>
      <c r="F30" s="22">
        <f t="shared" si="1"/>
        <v>590000</v>
      </c>
    </row>
    <row r="31" spans="1:6" ht="15.75" customHeight="1" x14ac:dyDescent="0.3">
      <c r="A31" s="7">
        <v>43612</v>
      </c>
      <c r="B31" s="8" t="s">
        <v>10</v>
      </c>
      <c r="C31" s="8" t="s">
        <v>17</v>
      </c>
      <c r="D31" s="22">
        <f t="shared" si="0"/>
        <v>375000</v>
      </c>
      <c r="E31" s="10">
        <v>2</v>
      </c>
      <c r="F31" s="22">
        <f t="shared" si="1"/>
        <v>750000</v>
      </c>
    </row>
    <row r="32" spans="1:6" ht="15.75" customHeight="1" x14ac:dyDescent="0.3">
      <c r="A32" s="13">
        <v>43613</v>
      </c>
      <c r="B32" s="8" t="s">
        <v>8</v>
      </c>
      <c r="C32" s="8" t="s">
        <v>9</v>
      </c>
      <c r="D32" s="22">
        <f t="shared" si="0"/>
        <v>590000</v>
      </c>
      <c r="E32" s="10">
        <v>3</v>
      </c>
      <c r="F32" s="22">
        <f t="shared" si="1"/>
        <v>1770000</v>
      </c>
    </row>
    <row r="33" spans="1:6" ht="15.75" customHeight="1" x14ac:dyDescent="0.3">
      <c r="A33" s="7">
        <v>43614</v>
      </c>
      <c r="B33" s="8" t="s">
        <v>10</v>
      </c>
      <c r="C33" s="8" t="s">
        <v>11</v>
      </c>
      <c r="D33" s="22">
        <f t="shared" si="0"/>
        <v>750000</v>
      </c>
      <c r="E33" s="10">
        <v>1</v>
      </c>
      <c r="F33" s="22">
        <f t="shared" si="1"/>
        <v>750000</v>
      </c>
    </row>
    <row r="34" spans="1:6" ht="15.75" customHeight="1" x14ac:dyDescent="0.3">
      <c r="A34" s="7">
        <v>43615</v>
      </c>
      <c r="B34" s="8" t="s">
        <v>18</v>
      </c>
      <c r="C34" s="8" t="s">
        <v>14</v>
      </c>
      <c r="D34" s="22">
        <f t="shared" si="0"/>
        <v>460000</v>
      </c>
      <c r="E34" s="10">
        <v>1</v>
      </c>
      <c r="F34" s="22">
        <f t="shared" si="1"/>
        <v>460000</v>
      </c>
    </row>
    <row r="35" spans="1:6" ht="15.75" customHeight="1" x14ac:dyDescent="0.3"/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selection activeCell="E12" sqref="E12"/>
    </sheetView>
  </sheetViews>
  <sheetFormatPr defaultColWidth="14.44140625" defaultRowHeight="15" customHeight="1" x14ac:dyDescent="0.3"/>
  <cols>
    <col min="1" max="1" width="11" customWidth="1"/>
    <col min="2" max="2" width="15.21875" customWidth="1"/>
    <col min="3" max="3" width="12.21875" customWidth="1"/>
    <col min="4" max="4" width="11.44140625" bestFit="1" customWidth="1"/>
    <col min="5" max="5" width="10.33203125" customWidth="1"/>
    <col min="6" max="6" width="13.21875" customWidth="1"/>
    <col min="7" max="7" width="8.77734375" customWidth="1"/>
    <col min="8" max="8" width="11.6640625" customWidth="1"/>
    <col min="9" max="9" width="13.5546875" customWidth="1"/>
    <col min="10" max="26" width="8.77734375" customWidth="1"/>
  </cols>
  <sheetData>
    <row r="1" spans="1:9" ht="14.4" x14ac:dyDescent="0.3">
      <c r="A1" s="1" t="s">
        <v>49</v>
      </c>
    </row>
    <row r="3" spans="1:9" ht="14.4" x14ac:dyDescent="0.3">
      <c r="H3" s="21" t="s">
        <v>4</v>
      </c>
      <c r="I3" s="21" t="s">
        <v>47</v>
      </c>
    </row>
    <row r="4" spans="1:9" ht="14.4" x14ac:dyDescent="0.3">
      <c r="A4" s="23" t="s">
        <v>4</v>
      </c>
      <c r="B4" s="24" t="s">
        <v>5</v>
      </c>
      <c r="C4" s="24" t="s">
        <v>6</v>
      </c>
      <c r="D4" s="25" t="s">
        <v>7</v>
      </c>
      <c r="H4" s="15" t="s">
        <v>9</v>
      </c>
      <c r="I4" s="15">
        <v>590000</v>
      </c>
    </row>
    <row r="5" spans="1:9" ht="14.4" x14ac:dyDescent="0.3">
      <c r="A5" s="15" t="s">
        <v>9</v>
      </c>
      <c r="B5" s="15">
        <v>590000</v>
      </c>
      <c r="C5" s="10">
        <v>1</v>
      </c>
      <c r="D5" s="26">
        <f>C5*B5</f>
        <v>590000</v>
      </c>
      <c r="H5" s="15" t="s">
        <v>11</v>
      </c>
      <c r="I5" s="15">
        <v>750000</v>
      </c>
    </row>
    <row r="6" spans="1:9" ht="14.4" x14ac:dyDescent="0.3">
      <c r="A6" s="15" t="s">
        <v>11</v>
      </c>
      <c r="B6" s="15">
        <v>750000</v>
      </c>
      <c r="C6" s="10">
        <v>2</v>
      </c>
      <c r="D6" s="26">
        <f t="shared" ref="D6:D15" si="0">C6*B6</f>
        <v>1500000</v>
      </c>
      <c r="H6" s="15" t="s">
        <v>14</v>
      </c>
      <c r="I6" s="15">
        <v>460000</v>
      </c>
    </row>
    <row r="7" spans="1:9" ht="14.4" x14ac:dyDescent="0.3">
      <c r="A7" s="15" t="s">
        <v>14</v>
      </c>
      <c r="B7" s="15">
        <v>460000</v>
      </c>
      <c r="C7" s="10">
        <v>1</v>
      </c>
      <c r="D7" s="26">
        <f t="shared" si="0"/>
        <v>460000</v>
      </c>
      <c r="H7" s="15" t="s">
        <v>16</v>
      </c>
      <c r="I7" s="15">
        <v>790000</v>
      </c>
    </row>
    <row r="8" spans="1:9" ht="14.4" x14ac:dyDescent="0.3">
      <c r="A8" s="15" t="s">
        <v>16</v>
      </c>
      <c r="B8" s="15">
        <v>790000</v>
      </c>
      <c r="C8" s="10">
        <v>2</v>
      </c>
      <c r="D8" s="26">
        <f t="shared" si="0"/>
        <v>1580000</v>
      </c>
      <c r="H8" s="15" t="s">
        <v>17</v>
      </c>
      <c r="I8" s="15">
        <v>375000</v>
      </c>
    </row>
    <row r="9" spans="1:9" ht="14.4" x14ac:dyDescent="0.3">
      <c r="A9" s="15" t="s">
        <v>17</v>
      </c>
      <c r="B9" s="15">
        <v>375000</v>
      </c>
      <c r="C9" s="10">
        <v>3</v>
      </c>
      <c r="D9" s="26">
        <f t="shared" si="0"/>
        <v>1125000</v>
      </c>
      <c r="H9" s="15" t="s">
        <v>48</v>
      </c>
      <c r="I9" s="15">
        <v>348000</v>
      </c>
    </row>
    <row r="10" spans="1:9" ht="14.4" x14ac:dyDescent="0.3">
      <c r="A10" s="15" t="s">
        <v>48</v>
      </c>
      <c r="B10" s="15">
        <v>348000</v>
      </c>
      <c r="C10" s="10">
        <v>2</v>
      </c>
      <c r="D10" s="26">
        <f t="shared" si="0"/>
        <v>696000</v>
      </c>
    </row>
    <row r="11" spans="1:9" ht="14.4" x14ac:dyDescent="0.3">
      <c r="A11" s="15" t="s">
        <v>9</v>
      </c>
      <c r="B11" s="15">
        <v>590000</v>
      </c>
      <c r="C11" s="10">
        <v>4</v>
      </c>
      <c r="D11" s="26">
        <f t="shared" si="0"/>
        <v>2360000</v>
      </c>
    </row>
    <row r="12" spans="1:9" ht="14.4" x14ac:dyDescent="0.3">
      <c r="A12" s="15" t="s">
        <v>11</v>
      </c>
      <c r="B12" s="15">
        <v>750000</v>
      </c>
      <c r="C12" s="10">
        <v>1</v>
      </c>
      <c r="D12" s="26">
        <f t="shared" si="0"/>
        <v>750000</v>
      </c>
    </row>
    <row r="13" spans="1:9" ht="14.4" x14ac:dyDescent="0.3">
      <c r="A13" s="15" t="s">
        <v>14</v>
      </c>
      <c r="B13" s="15">
        <v>460000</v>
      </c>
      <c r="C13" s="10">
        <v>2</v>
      </c>
      <c r="D13" s="26">
        <f t="shared" si="0"/>
        <v>920000</v>
      </c>
    </row>
    <row r="14" spans="1:9" ht="14.4" x14ac:dyDescent="0.3">
      <c r="A14" s="15" t="s">
        <v>16</v>
      </c>
      <c r="B14" s="15">
        <v>790000</v>
      </c>
      <c r="C14" s="10">
        <v>3</v>
      </c>
      <c r="D14" s="26">
        <f t="shared" si="0"/>
        <v>2370000</v>
      </c>
    </row>
    <row r="15" spans="1:9" ht="14.4" x14ac:dyDescent="0.3">
      <c r="A15" s="15" t="s">
        <v>17</v>
      </c>
      <c r="B15" s="15">
        <v>375000</v>
      </c>
      <c r="C15" s="10">
        <v>1</v>
      </c>
      <c r="D15" s="26">
        <f t="shared" si="0"/>
        <v>375000</v>
      </c>
    </row>
    <row r="16" spans="1:9" ht="14.4" x14ac:dyDescent="0.3">
      <c r="A16" s="54" t="s">
        <v>50</v>
      </c>
      <c r="B16" s="55"/>
      <c r="C16" s="27">
        <f>SUM(C5:C15)</f>
        <v>22</v>
      </c>
      <c r="D16" s="28">
        <f>SUM(D5:D15)</f>
        <v>12726000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6:B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</vt:lpstr>
      <vt:lpstr>Task 2</vt:lpstr>
      <vt:lpstr>Task 3</vt:lpstr>
      <vt:lpstr>Task 4</vt:lpstr>
      <vt:lpstr>Task 5</vt:lpstr>
      <vt:lpstr>Task 6</vt:lpstr>
      <vt:lpstr>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Saleh Hatem Elsoudy</cp:lastModifiedBy>
  <dcterms:created xsi:type="dcterms:W3CDTF">2024-07-26T20:53:48Z</dcterms:created>
  <dcterms:modified xsi:type="dcterms:W3CDTF">2026-09-16T18:15:21Z</dcterms:modified>
</cp:coreProperties>
</file>